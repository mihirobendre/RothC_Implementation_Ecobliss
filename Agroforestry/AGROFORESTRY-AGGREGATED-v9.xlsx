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moddaherkar/Desktop/Gazelle Files/"/>
    </mc:Choice>
  </mc:AlternateContent>
  <xr:revisionPtr revIDLastSave="0" documentId="13_ncr:20001_{0FCA26D8-A0F7-7049-A4C3-9E1D09E5E467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0_ReadMe" sheetId="1" r:id="rId1"/>
    <sheet name="1_PlantingPlan" sheetId="2" r:id="rId2"/>
    <sheet name="2_Assumptions" sheetId="3" r:id="rId3"/>
    <sheet name="3_GrowthInputs" sheetId="4" r:id="rId4"/>
    <sheet name="4_BiomassPerHa" sheetId="5" r:id="rId5"/>
    <sheet name="5_Eq49_Output" sheetId="6" r:id="rId6"/>
    <sheet name="6_Literature_Citations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6" l="1"/>
  <c r="Q201" i="5"/>
  <c r="D201" i="5"/>
  <c r="E201" i="5" s="1"/>
  <c r="C201" i="5"/>
  <c r="Q200" i="5"/>
  <c r="D200" i="5"/>
  <c r="C200" i="5"/>
  <c r="E200" i="5" s="1"/>
  <c r="Q199" i="5"/>
  <c r="D199" i="5"/>
  <c r="E199" i="5" s="1"/>
  <c r="C199" i="5"/>
  <c r="Q198" i="5"/>
  <c r="D198" i="5"/>
  <c r="C198" i="5"/>
  <c r="Q197" i="5"/>
  <c r="D197" i="5"/>
  <c r="C197" i="5"/>
  <c r="E197" i="5" s="1"/>
  <c r="Q196" i="5"/>
  <c r="D196" i="5"/>
  <c r="C196" i="5"/>
  <c r="E196" i="5" s="1"/>
  <c r="Q195" i="5"/>
  <c r="D195" i="5"/>
  <c r="C195" i="5"/>
  <c r="E195" i="5" s="1"/>
  <c r="Q194" i="5"/>
  <c r="D194" i="5"/>
  <c r="C194" i="5"/>
  <c r="E194" i="5" s="1"/>
  <c r="Q193" i="5"/>
  <c r="D193" i="5"/>
  <c r="C193" i="5"/>
  <c r="E193" i="5" s="1"/>
  <c r="Q192" i="5"/>
  <c r="D192" i="5"/>
  <c r="C192" i="5"/>
  <c r="E192" i="5" s="1"/>
  <c r="Q191" i="5"/>
  <c r="D191" i="5"/>
  <c r="E191" i="5" s="1"/>
  <c r="C191" i="5"/>
  <c r="Q190" i="5"/>
  <c r="D190" i="5"/>
  <c r="C190" i="5"/>
  <c r="Q189" i="5"/>
  <c r="D189" i="5"/>
  <c r="C189" i="5"/>
  <c r="E189" i="5" s="1"/>
  <c r="Q188" i="5"/>
  <c r="D188" i="5"/>
  <c r="C188" i="5"/>
  <c r="E188" i="5" s="1"/>
  <c r="Q187" i="5"/>
  <c r="D187" i="5"/>
  <c r="C187" i="5"/>
  <c r="E187" i="5" s="1"/>
  <c r="Q186" i="5"/>
  <c r="D186" i="5"/>
  <c r="C186" i="5"/>
  <c r="E186" i="5" s="1"/>
  <c r="Q185" i="5"/>
  <c r="D185" i="5"/>
  <c r="C185" i="5"/>
  <c r="E185" i="5" s="1"/>
  <c r="Q184" i="5"/>
  <c r="D184" i="5"/>
  <c r="C184" i="5"/>
  <c r="E184" i="5" s="1"/>
  <c r="Q183" i="5"/>
  <c r="D183" i="5"/>
  <c r="E183" i="5" s="1"/>
  <c r="C183" i="5"/>
  <c r="Q182" i="5"/>
  <c r="D182" i="5"/>
  <c r="C182" i="5"/>
  <c r="Q181" i="5"/>
  <c r="D181" i="5"/>
  <c r="C181" i="5"/>
  <c r="Q180" i="5"/>
  <c r="D180" i="5"/>
  <c r="C180" i="5"/>
  <c r="E180" i="5" s="1"/>
  <c r="Q179" i="5"/>
  <c r="D179" i="5"/>
  <c r="E179" i="5" s="1"/>
  <c r="C179" i="5"/>
  <c r="Q178" i="5"/>
  <c r="D178" i="5"/>
  <c r="C178" i="5"/>
  <c r="E178" i="5" s="1"/>
  <c r="Q177" i="5"/>
  <c r="D177" i="5"/>
  <c r="E177" i="5" s="1"/>
  <c r="C177" i="5"/>
  <c r="Q176" i="5"/>
  <c r="D176" i="5"/>
  <c r="C176" i="5"/>
  <c r="E176" i="5" s="1"/>
  <c r="Q175" i="5"/>
  <c r="D175" i="5"/>
  <c r="E175" i="5" s="1"/>
  <c r="C175" i="5"/>
  <c r="Q174" i="5"/>
  <c r="D174" i="5"/>
  <c r="C174" i="5"/>
  <c r="Q173" i="5"/>
  <c r="D173" i="5"/>
  <c r="C173" i="5"/>
  <c r="E173" i="5" s="1"/>
  <c r="Q172" i="5"/>
  <c r="D172" i="5"/>
  <c r="C172" i="5"/>
  <c r="Q171" i="5"/>
  <c r="E171" i="5"/>
  <c r="D171" i="5"/>
  <c r="C171" i="5"/>
  <c r="Q170" i="5"/>
  <c r="D170" i="5"/>
  <c r="C170" i="5"/>
  <c r="Q169" i="5"/>
  <c r="E169" i="5"/>
  <c r="D169" i="5"/>
  <c r="C169" i="5"/>
  <c r="Q168" i="5"/>
  <c r="D168" i="5"/>
  <c r="C168" i="5"/>
  <c r="Q167" i="5"/>
  <c r="E167" i="5"/>
  <c r="D167" i="5"/>
  <c r="C167" i="5"/>
  <c r="Q166" i="5"/>
  <c r="D166" i="5"/>
  <c r="C166" i="5"/>
  <c r="Q165" i="5"/>
  <c r="D165" i="5"/>
  <c r="C165" i="5"/>
  <c r="E165" i="5" s="1"/>
  <c r="Q164" i="5"/>
  <c r="D164" i="5"/>
  <c r="C164" i="5"/>
  <c r="Q163" i="5"/>
  <c r="D163" i="5"/>
  <c r="E163" i="5" s="1"/>
  <c r="C163" i="5"/>
  <c r="Q162" i="5"/>
  <c r="D162" i="5"/>
  <c r="C162" i="5"/>
  <c r="E162" i="5" s="1"/>
  <c r="Q161" i="5"/>
  <c r="D161" i="5"/>
  <c r="E161" i="5" s="1"/>
  <c r="C161" i="5"/>
  <c r="Q160" i="5"/>
  <c r="D160" i="5"/>
  <c r="C160" i="5"/>
  <c r="Q159" i="5"/>
  <c r="D159" i="5"/>
  <c r="C159" i="5"/>
  <c r="E159" i="5" s="1"/>
  <c r="Q158" i="5"/>
  <c r="D158" i="5"/>
  <c r="E158" i="5" s="1"/>
  <c r="C158" i="5"/>
  <c r="Q157" i="5"/>
  <c r="D157" i="5"/>
  <c r="C157" i="5"/>
  <c r="E157" i="5" s="1"/>
  <c r="Q156" i="5"/>
  <c r="E156" i="5"/>
  <c r="D156" i="5"/>
  <c r="C156" i="5"/>
  <c r="Q155" i="5"/>
  <c r="E155" i="5"/>
  <c r="D155" i="5"/>
  <c r="C155" i="5"/>
  <c r="Q154" i="5"/>
  <c r="D154" i="5"/>
  <c r="E154" i="5" s="1"/>
  <c r="C154" i="5"/>
  <c r="Q153" i="5"/>
  <c r="D153" i="5"/>
  <c r="C153" i="5"/>
  <c r="E153" i="5" s="1"/>
  <c r="Q152" i="5"/>
  <c r="E152" i="5"/>
  <c r="D152" i="5"/>
  <c r="C152" i="5"/>
  <c r="Q151" i="5"/>
  <c r="D151" i="5"/>
  <c r="C151" i="5"/>
  <c r="E151" i="5" s="1"/>
  <c r="Q150" i="5"/>
  <c r="D150" i="5"/>
  <c r="E150" i="5" s="1"/>
  <c r="C150" i="5"/>
  <c r="Q149" i="5"/>
  <c r="D149" i="5"/>
  <c r="C149" i="5"/>
  <c r="E149" i="5" s="1"/>
  <c r="Q148" i="5"/>
  <c r="E148" i="5"/>
  <c r="D148" i="5"/>
  <c r="C148" i="5"/>
  <c r="Q147" i="5"/>
  <c r="E147" i="5"/>
  <c r="D147" i="5"/>
  <c r="C147" i="5"/>
  <c r="Q146" i="5"/>
  <c r="D146" i="5"/>
  <c r="E146" i="5" s="1"/>
  <c r="C146" i="5"/>
  <c r="Q145" i="5"/>
  <c r="D145" i="5"/>
  <c r="C145" i="5"/>
  <c r="Q144" i="5"/>
  <c r="E144" i="5"/>
  <c r="D144" i="5"/>
  <c r="C144" i="5"/>
  <c r="Q143" i="5"/>
  <c r="D143" i="5"/>
  <c r="C143" i="5"/>
  <c r="E143" i="5" s="1"/>
  <c r="Q142" i="5"/>
  <c r="D142" i="5"/>
  <c r="E142" i="5" s="1"/>
  <c r="C142" i="5"/>
  <c r="Q141" i="5"/>
  <c r="D141" i="5"/>
  <c r="C141" i="5"/>
  <c r="E141" i="5" s="1"/>
  <c r="Q140" i="5"/>
  <c r="E140" i="5"/>
  <c r="D140" i="5"/>
  <c r="C140" i="5"/>
  <c r="Q139" i="5"/>
  <c r="E139" i="5"/>
  <c r="D139" i="5"/>
  <c r="C139" i="5"/>
  <c r="Q138" i="5"/>
  <c r="D138" i="5"/>
  <c r="E138" i="5" s="1"/>
  <c r="C138" i="5"/>
  <c r="Q137" i="5"/>
  <c r="D137" i="5"/>
  <c r="C137" i="5"/>
  <c r="Q136" i="5"/>
  <c r="E136" i="5"/>
  <c r="D136" i="5"/>
  <c r="C136" i="5"/>
  <c r="Q135" i="5"/>
  <c r="D135" i="5"/>
  <c r="C135" i="5"/>
  <c r="E135" i="5" s="1"/>
  <c r="Q134" i="5"/>
  <c r="D134" i="5"/>
  <c r="E134" i="5" s="1"/>
  <c r="C134" i="5"/>
  <c r="Q133" i="5"/>
  <c r="D133" i="5"/>
  <c r="C133" i="5"/>
  <c r="E133" i="5" s="1"/>
  <c r="Q132" i="5"/>
  <c r="E132" i="5"/>
  <c r="D132" i="5"/>
  <c r="C132" i="5"/>
  <c r="Q131" i="5"/>
  <c r="E131" i="5"/>
  <c r="D131" i="5"/>
  <c r="C131" i="5"/>
  <c r="Q130" i="5"/>
  <c r="D130" i="5"/>
  <c r="E130" i="5" s="1"/>
  <c r="C130" i="5"/>
  <c r="Q129" i="5"/>
  <c r="D129" i="5"/>
  <c r="C129" i="5"/>
  <c r="Q128" i="5"/>
  <c r="E128" i="5"/>
  <c r="D128" i="5"/>
  <c r="C128" i="5"/>
  <c r="Q127" i="5"/>
  <c r="D127" i="5"/>
  <c r="C127" i="5"/>
  <c r="E127" i="5" s="1"/>
  <c r="Q126" i="5"/>
  <c r="D126" i="5"/>
  <c r="E126" i="5" s="1"/>
  <c r="C126" i="5"/>
  <c r="Q125" i="5"/>
  <c r="D125" i="5"/>
  <c r="C125" i="5"/>
  <c r="E125" i="5" s="1"/>
  <c r="Q124" i="5"/>
  <c r="E124" i="5"/>
  <c r="D124" i="5"/>
  <c r="C124" i="5"/>
  <c r="Q123" i="5"/>
  <c r="E123" i="5"/>
  <c r="D123" i="5"/>
  <c r="C123" i="5"/>
  <c r="Q122" i="5"/>
  <c r="D122" i="5"/>
  <c r="C122" i="5"/>
  <c r="E122" i="5" s="1"/>
  <c r="Q121" i="5"/>
  <c r="D121" i="5"/>
  <c r="E121" i="5" s="1"/>
  <c r="C121" i="5"/>
  <c r="Q120" i="5"/>
  <c r="D120" i="5"/>
  <c r="C120" i="5"/>
  <c r="Q119" i="5"/>
  <c r="D119" i="5"/>
  <c r="C119" i="5"/>
  <c r="E119" i="5" s="1"/>
  <c r="Q118" i="5"/>
  <c r="D118" i="5"/>
  <c r="C118" i="5"/>
  <c r="E118" i="5" s="1"/>
  <c r="Q117" i="5"/>
  <c r="D117" i="5"/>
  <c r="C117" i="5"/>
  <c r="E117" i="5" s="1"/>
  <c r="Q116" i="5"/>
  <c r="D116" i="5"/>
  <c r="E116" i="5" s="1"/>
  <c r="C116" i="5"/>
  <c r="Q115" i="5"/>
  <c r="D115" i="5"/>
  <c r="E115" i="5" s="1"/>
  <c r="C115" i="5"/>
  <c r="Q114" i="5"/>
  <c r="D114" i="5"/>
  <c r="C114" i="5"/>
  <c r="E114" i="5" s="1"/>
  <c r="Q113" i="5"/>
  <c r="D113" i="5"/>
  <c r="E113" i="5" s="1"/>
  <c r="C113" i="5"/>
  <c r="Q112" i="5"/>
  <c r="D112" i="5"/>
  <c r="C112" i="5"/>
  <c r="Q111" i="5"/>
  <c r="D111" i="5"/>
  <c r="C111" i="5"/>
  <c r="E111" i="5" s="1"/>
  <c r="Q110" i="5"/>
  <c r="F110" i="5" s="1"/>
  <c r="D110" i="5"/>
  <c r="C110" i="5"/>
  <c r="E110" i="5" s="1"/>
  <c r="Q109" i="5"/>
  <c r="D109" i="5"/>
  <c r="C109" i="5"/>
  <c r="E109" i="5" s="1"/>
  <c r="Q108" i="5"/>
  <c r="E108" i="5"/>
  <c r="D108" i="5"/>
  <c r="C108" i="5"/>
  <c r="Q107" i="5"/>
  <c r="E107" i="5"/>
  <c r="D107" i="5"/>
  <c r="C107" i="5"/>
  <c r="Q106" i="5"/>
  <c r="D106" i="5"/>
  <c r="C106" i="5"/>
  <c r="E106" i="5" s="1"/>
  <c r="Q105" i="5"/>
  <c r="E105" i="5"/>
  <c r="D105" i="5"/>
  <c r="C105" i="5"/>
  <c r="Q104" i="5"/>
  <c r="D104" i="5"/>
  <c r="C104" i="5"/>
  <c r="E104" i="5" s="1"/>
  <c r="Q103" i="5"/>
  <c r="D103" i="5"/>
  <c r="C103" i="5"/>
  <c r="E103" i="5" s="1"/>
  <c r="Q102" i="5"/>
  <c r="E102" i="5"/>
  <c r="D102" i="5"/>
  <c r="C102" i="5"/>
  <c r="Q101" i="5"/>
  <c r="D101" i="5"/>
  <c r="C101" i="5"/>
  <c r="Q100" i="5"/>
  <c r="D100" i="5"/>
  <c r="E100" i="5" s="1"/>
  <c r="C100" i="5"/>
  <c r="Q99" i="5"/>
  <c r="E99" i="5"/>
  <c r="D99" i="5"/>
  <c r="C99" i="5"/>
  <c r="Q98" i="5"/>
  <c r="D98" i="5"/>
  <c r="C98" i="5"/>
  <c r="E98" i="5" s="1"/>
  <c r="Q97" i="5"/>
  <c r="E97" i="5"/>
  <c r="D97" i="5"/>
  <c r="C97" i="5"/>
  <c r="Q96" i="5"/>
  <c r="D96" i="5"/>
  <c r="C96" i="5"/>
  <c r="Q95" i="5"/>
  <c r="D95" i="5"/>
  <c r="C95" i="5"/>
  <c r="E95" i="5" s="1"/>
  <c r="Q94" i="5"/>
  <c r="D94" i="5"/>
  <c r="C94" i="5"/>
  <c r="E94" i="5" s="1"/>
  <c r="Q93" i="5"/>
  <c r="D93" i="5"/>
  <c r="C93" i="5"/>
  <c r="E93" i="5" s="1"/>
  <c r="Q92" i="5"/>
  <c r="E92" i="5"/>
  <c r="D92" i="5"/>
  <c r="C92" i="5"/>
  <c r="Q91" i="5"/>
  <c r="D91" i="5"/>
  <c r="C91" i="5"/>
  <c r="E91" i="5" s="1"/>
  <c r="Q90" i="5"/>
  <c r="E90" i="5"/>
  <c r="D90" i="5"/>
  <c r="C90" i="5"/>
  <c r="Q89" i="5"/>
  <c r="E89" i="5"/>
  <c r="D89" i="5"/>
  <c r="C89" i="5"/>
  <c r="Q88" i="5"/>
  <c r="D88" i="5"/>
  <c r="C88" i="5"/>
  <c r="E88" i="5" s="1"/>
  <c r="Q87" i="5"/>
  <c r="E87" i="5"/>
  <c r="D87" i="5"/>
  <c r="C87" i="5"/>
  <c r="Q86" i="5"/>
  <c r="E86" i="5"/>
  <c r="D86" i="5"/>
  <c r="C86" i="5"/>
  <c r="Q85" i="5"/>
  <c r="D85" i="5"/>
  <c r="C85" i="5"/>
  <c r="Q84" i="5"/>
  <c r="D84" i="5"/>
  <c r="E84" i="5" s="1"/>
  <c r="C84" i="5"/>
  <c r="Q83" i="5"/>
  <c r="E83" i="5"/>
  <c r="D83" i="5"/>
  <c r="C83" i="5"/>
  <c r="Q82" i="5"/>
  <c r="D82" i="5"/>
  <c r="C82" i="5"/>
  <c r="E82" i="5" s="1"/>
  <c r="Q81" i="5"/>
  <c r="E81" i="5"/>
  <c r="D81" i="5"/>
  <c r="C81" i="5"/>
  <c r="Q80" i="5"/>
  <c r="D80" i="5"/>
  <c r="C80" i="5"/>
  <c r="E80" i="5" s="1"/>
  <c r="Q79" i="5"/>
  <c r="E79" i="5"/>
  <c r="D79" i="5"/>
  <c r="C79" i="5"/>
  <c r="Q78" i="5"/>
  <c r="D78" i="5"/>
  <c r="C78" i="5"/>
  <c r="Q77" i="5"/>
  <c r="E77" i="5"/>
  <c r="D77" i="5"/>
  <c r="C77" i="5"/>
  <c r="Q76" i="5"/>
  <c r="D76" i="5"/>
  <c r="C76" i="5"/>
  <c r="Q75" i="5"/>
  <c r="D75" i="5"/>
  <c r="C75" i="5"/>
  <c r="E75" i="5" s="1"/>
  <c r="Q74" i="5"/>
  <c r="D74" i="5"/>
  <c r="C74" i="5"/>
  <c r="Q73" i="5"/>
  <c r="D73" i="5"/>
  <c r="E73" i="5" s="1"/>
  <c r="C73" i="5"/>
  <c r="Q72" i="5"/>
  <c r="D72" i="5"/>
  <c r="C72" i="5"/>
  <c r="E72" i="5" s="1"/>
  <c r="Q71" i="5"/>
  <c r="D71" i="5"/>
  <c r="E71" i="5" s="1"/>
  <c r="C71" i="5"/>
  <c r="Q70" i="5"/>
  <c r="D70" i="5"/>
  <c r="C70" i="5"/>
  <c r="Q69" i="5"/>
  <c r="D69" i="5"/>
  <c r="C69" i="5"/>
  <c r="E69" i="5" s="1"/>
  <c r="Q68" i="5"/>
  <c r="D68" i="5"/>
  <c r="C68" i="5"/>
  <c r="Q67" i="5"/>
  <c r="E67" i="5"/>
  <c r="D67" i="5"/>
  <c r="C67" i="5"/>
  <c r="Q66" i="5"/>
  <c r="D66" i="5"/>
  <c r="C66" i="5"/>
  <c r="E66" i="5" s="1"/>
  <c r="Q65" i="5"/>
  <c r="D65" i="5"/>
  <c r="C65" i="5"/>
  <c r="E65" i="5" s="1"/>
  <c r="Q64" i="5"/>
  <c r="D64" i="5"/>
  <c r="C64" i="5"/>
  <c r="E64" i="5" s="1"/>
  <c r="Q63" i="5"/>
  <c r="E63" i="5"/>
  <c r="D63" i="5"/>
  <c r="C63" i="5"/>
  <c r="Q62" i="5"/>
  <c r="D62" i="5"/>
  <c r="C62" i="5"/>
  <c r="E62" i="5" s="1"/>
  <c r="Q61" i="5"/>
  <c r="E61" i="5"/>
  <c r="D61" i="5"/>
  <c r="C61" i="5"/>
  <c r="Q60" i="5"/>
  <c r="D60" i="5"/>
  <c r="C60" i="5"/>
  <c r="E60" i="5" s="1"/>
  <c r="Q59" i="5"/>
  <c r="E59" i="5"/>
  <c r="D59" i="5"/>
  <c r="C59" i="5"/>
  <c r="Q58" i="5"/>
  <c r="E58" i="5"/>
  <c r="D58" i="5"/>
  <c r="C58" i="5"/>
  <c r="Q57" i="5"/>
  <c r="E57" i="5"/>
  <c r="D57" i="5"/>
  <c r="C57" i="5"/>
  <c r="Q56" i="5"/>
  <c r="D56" i="5"/>
  <c r="C56" i="5"/>
  <c r="E56" i="5" s="1"/>
  <c r="Q55" i="5"/>
  <c r="E55" i="5"/>
  <c r="D55" i="5"/>
  <c r="C55" i="5"/>
  <c r="Q54" i="5"/>
  <c r="F54" i="5" s="1"/>
  <c r="D54" i="5"/>
  <c r="C54" i="5"/>
  <c r="E54" i="5" s="1"/>
  <c r="Q53" i="5"/>
  <c r="E53" i="5"/>
  <c r="D53" i="5"/>
  <c r="C53" i="5"/>
  <c r="Q52" i="5"/>
  <c r="D52" i="5"/>
  <c r="E52" i="5" s="1"/>
  <c r="C52" i="5"/>
  <c r="Q51" i="5"/>
  <c r="E51" i="5"/>
  <c r="D51" i="5"/>
  <c r="C51" i="5"/>
  <c r="Q50" i="5"/>
  <c r="D50" i="5"/>
  <c r="E50" i="5" s="1"/>
  <c r="C50" i="5"/>
  <c r="Q49" i="5"/>
  <c r="E49" i="5"/>
  <c r="D49" i="5"/>
  <c r="C49" i="5"/>
  <c r="Q48" i="5"/>
  <c r="D48" i="5"/>
  <c r="C48" i="5"/>
  <c r="E48" i="5" s="1"/>
  <c r="Q47" i="5"/>
  <c r="E47" i="5"/>
  <c r="D47" i="5"/>
  <c r="C47" i="5"/>
  <c r="Q46" i="5"/>
  <c r="D46" i="5"/>
  <c r="C46" i="5"/>
  <c r="Q45" i="5"/>
  <c r="E45" i="5"/>
  <c r="D45" i="5"/>
  <c r="C45" i="5"/>
  <c r="Q44" i="5"/>
  <c r="D44" i="5"/>
  <c r="C44" i="5"/>
  <c r="E44" i="5" s="1"/>
  <c r="Q43" i="5"/>
  <c r="E43" i="5"/>
  <c r="D43" i="5"/>
  <c r="C43" i="5"/>
  <c r="Q42" i="5"/>
  <c r="D42" i="5"/>
  <c r="E42" i="5" s="1"/>
  <c r="C42" i="5"/>
  <c r="Q41" i="5"/>
  <c r="D41" i="5"/>
  <c r="E41" i="5" s="1"/>
  <c r="C41" i="5"/>
  <c r="Q40" i="5"/>
  <c r="D40" i="5"/>
  <c r="C40" i="5"/>
  <c r="E40" i="5" s="1"/>
  <c r="Q39" i="5"/>
  <c r="D39" i="5"/>
  <c r="E39" i="5" s="1"/>
  <c r="C39" i="5"/>
  <c r="Q38" i="5"/>
  <c r="F38" i="5" s="1"/>
  <c r="D38" i="5"/>
  <c r="C38" i="5"/>
  <c r="E38" i="5" s="1"/>
  <c r="G38" i="5" s="1"/>
  <c r="Q37" i="5"/>
  <c r="D37" i="5"/>
  <c r="E37" i="5" s="1"/>
  <c r="C37" i="5"/>
  <c r="Q36" i="5"/>
  <c r="E36" i="5"/>
  <c r="D36" i="5"/>
  <c r="C36" i="5"/>
  <c r="Q35" i="5"/>
  <c r="D35" i="5"/>
  <c r="E35" i="5" s="1"/>
  <c r="C35" i="5"/>
  <c r="Q34" i="5"/>
  <c r="D34" i="5"/>
  <c r="C34" i="5"/>
  <c r="E34" i="5" s="1"/>
  <c r="Q33" i="5"/>
  <c r="F33" i="5" s="1"/>
  <c r="G33" i="5" s="1"/>
  <c r="E33" i="5"/>
  <c r="D33" i="5"/>
  <c r="C33" i="5"/>
  <c r="Q32" i="5"/>
  <c r="D32" i="5"/>
  <c r="C32" i="5"/>
  <c r="E32" i="5" s="1"/>
  <c r="Q31" i="5"/>
  <c r="E31" i="5"/>
  <c r="D31" i="5"/>
  <c r="C31" i="5"/>
  <c r="Q30" i="5"/>
  <c r="D30" i="5"/>
  <c r="C30" i="5"/>
  <c r="E30" i="5" s="1"/>
  <c r="Q29" i="5"/>
  <c r="D29" i="5"/>
  <c r="E29" i="5" s="1"/>
  <c r="C29" i="5"/>
  <c r="Q28" i="5"/>
  <c r="E28" i="5"/>
  <c r="D28" i="5"/>
  <c r="C28" i="5"/>
  <c r="Q27" i="5"/>
  <c r="D27" i="5"/>
  <c r="E27" i="5" s="1"/>
  <c r="C27" i="5"/>
  <c r="Q26" i="5"/>
  <c r="D26" i="5"/>
  <c r="C26" i="5"/>
  <c r="E26" i="5" s="1"/>
  <c r="Q25" i="5"/>
  <c r="D25" i="5"/>
  <c r="E25" i="5" s="1"/>
  <c r="C25" i="5"/>
  <c r="Q24" i="5"/>
  <c r="D24" i="5"/>
  <c r="C24" i="5"/>
  <c r="E24" i="5" s="1"/>
  <c r="Q23" i="5"/>
  <c r="F23" i="5" s="1"/>
  <c r="G23" i="5" s="1"/>
  <c r="D23" i="5"/>
  <c r="C23" i="5"/>
  <c r="E23" i="5" s="1"/>
  <c r="Q22" i="5"/>
  <c r="F22" i="5" s="1"/>
  <c r="D22" i="5"/>
  <c r="C22" i="5"/>
  <c r="E22" i="5" s="1"/>
  <c r="G22" i="5" s="1"/>
  <c r="Q21" i="5"/>
  <c r="F21" i="5" s="1"/>
  <c r="D21" i="5"/>
  <c r="C21" i="5"/>
  <c r="E21" i="5" s="1"/>
  <c r="G21" i="5" s="1"/>
  <c r="Q20" i="5"/>
  <c r="E20" i="5"/>
  <c r="D20" i="5"/>
  <c r="C20" i="5"/>
  <c r="Q19" i="5"/>
  <c r="D19" i="5"/>
  <c r="C19" i="5"/>
  <c r="E19" i="5" s="1"/>
  <c r="Q18" i="5"/>
  <c r="D18" i="5"/>
  <c r="C18" i="5"/>
  <c r="E18" i="5" s="1"/>
  <c r="Q17" i="5"/>
  <c r="E17" i="5"/>
  <c r="D17" i="5"/>
  <c r="C17" i="5"/>
  <c r="Q16" i="5"/>
  <c r="D16" i="5"/>
  <c r="C16" i="5"/>
  <c r="E16" i="5" s="1"/>
  <c r="Q15" i="5"/>
  <c r="D15" i="5"/>
  <c r="C15" i="5"/>
  <c r="E15" i="5" s="1"/>
  <c r="G15" i="5" s="1"/>
  <c r="Q14" i="5"/>
  <c r="D14" i="5"/>
  <c r="E14" i="5" s="1"/>
  <c r="C14" i="5"/>
  <c r="Q13" i="5"/>
  <c r="D13" i="5"/>
  <c r="C13" i="5"/>
  <c r="E13" i="5" s="1"/>
  <c r="Q12" i="5"/>
  <c r="E12" i="5"/>
  <c r="D12" i="5"/>
  <c r="C12" i="5"/>
  <c r="Q11" i="5"/>
  <c r="D11" i="5"/>
  <c r="E11" i="5" s="1"/>
  <c r="C11" i="5"/>
  <c r="Q10" i="5"/>
  <c r="D10" i="5"/>
  <c r="C10" i="5"/>
  <c r="E10" i="5" s="1"/>
  <c r="Q9" i="5"/>
  <c r="D9" i="5"/>
  <c r="E9" i="5" s="1"/>
  <c r="C9" i="5"/>
  <c r="Q8" i="5"/>
  <c r="D8" i="5"/>
  <c r="C8" i="5"/>
  <c r="E8" i="5" s="1"/>
  <c r="Q7" i="5"/>
  <c r="D7" i="5"/>
  <c r="E7" i="5" s="1"/>
  <c r="C7" i="5"/>
  <c r="Q6" i="5"/>
  <c r="D6" i="5"/>
  <c r="C6" i="5"/>
  <c r="E6" i="5" s="1"/>
  <c r="Q5" i="5"/>
  <c r="D5" i="5"/>
  <c r="E5" i="5" s="1"/>
  <c r="C5" i="5"/>
  <c r="Q4" i="5"/>
  <c r="D4" i="5"/>
  <c r="C4" i="5"/>
  <c r="E4" i="5" s="1"/>
  <c r="Q3" i="5"/>
  <c r="D3" i="5"/>
  <c r="E3" i="5" s="1"/>
  <c r="C3" i="5"/>
  <c r="Q2" i="5"/>
  <c r="F2" i="5" s="1"/>
  <c r="G2" i="5"/>
  <c r="D2" i="5"/>
  <c r="C2" i="5"/>
  <c r="E2" i="5" s="1"/>
  <c r="G201" i="4"/>
  <c r="F201" i="4"/>
  <c r="G200" i="4"/>
  <c r="F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87" i="5" s="1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F15" i="5" s="1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46" i="5" s="1"/>
  <c r="F3" i="4"/>
  <c r="G2" i="4"/>
  <c r="F76" i="5" s="1"/>
  <c r="H21" i="5" l="1"/>
  <c r="I21" i="5" s="1"/>
  <c r="J21" i="5" s="1"/>
  <c r="H23" i="5"/>
  <c r="I23" i="5" s="1"/>
  <c r="J23" i="5" s="1"/>
  <c r="H33" i="5"/>
  <c r="I33" i="5" s="1"/>
  <c r="J33" i="5" s="1"/>
  <c r="H22" i="5"/>
  <c r="I22" i="5" s="1"/>
  <c r="J22" i="5" s="1"/>
  <c r="H15" i="5"/>
  <c r="I15" i="5" s="1"/>
  <c r="J15" i="5" s="1"/>
  <c r="G73" i="5"/>
  <c r="G126" i="5"/>
  <c r="G25" i="5"/>
  <c r="G37" i="5"/>
  <c r="G26" i="5"/>
  <c r="H38" i="5"/>
  <c r="I38" i="5" s="1"/>
  <c r="J38" i="5" s="1"/>
  <c r="H2" i="5"/>
  <c r="F19" i="5"/>
  <c r="G19" i="5" s="1"/>
  <c r="F31" i="5"/>
  <c r="G31" i="5" s="1"/>
  <c r="F44" i="5"/>
  <c r="G44" i="5" s="1"/>
  <c r="F48" i="5"/>
  <c r="F60" i="5"/>
  <c r="F68" i="5"/>
  <c r="F70" i="5"/>
  <c r="F93" i="5"/>
  <c r="G93" i="5" s="1"/>
  <c r="F95" i="5"/>
  <c r="G99" i="5"/>
  <c r="F177" i="5"/>
  <c r="G65" i="5"/>
  <c r="F82" i="5"/>
  <c r="G82" i="5" s="1"/>
  <c r="F124" i="5"/>
  <c r="F174" i="5"/>
  <c r="G177" i="5"/>
  <c r="F16" i="5"/>
  <c r="G16" i="5" s="1"/>
  <c r="F43" i="5"/>
  <c r="G43" i="5" s="1"/>
  <c r="E46" i="5"/>
  <c r="G46" i="5" s="1"/>
  <c r="G77" i="5"/>
  <c r="F89" i="5"/>
  <c r="G115" i="5"/>
  <c r="G121" i="5"/>
  <c r="F160" i="5"/>
  <c r="F187" i="5"/>
  <c r="F197" i="5"/>
  <c r="F3" i="5"/>
  <c r="G3" i="5" s="1"/>
  <c r="F4" i="5"/>
  <c r="G4" i="5" s="1"/>
  <c r="F5" i="5"/>
  <c r="G5" i="5" s="1"/>
  <c r="F6" i="5"/>
  <c r="G6" i="5" s="1"/>
  <c r="F7" i="5"/>
  <c r="G7" i="5" s="1"/>
  <c r="F8" i="5"/>
  <c r="G8" i="5" s="1"/>
  <c r="F9" i="5"/>
  <c r="G9" i="5" s="1"/>
  <c r="F10" i="5"/>
  <c r="G10" i="5" s="1"/>
  <c r="F13" i="5"/>
  <c r="G13" i="5" s="1"/>
  <c r="F18" i="5"/>
  <c r="G18" i="5" s="1"/>
  <c r="F25" i="5"/>
  <c r="F37" i="5"/>
  <c r="F40" i="5"/>
  <c r="G55" i="5"/>
  <c r="F56" i="5"/>
  <c r="G56" i="5" s="1"/>
  <c r="F77" i="5"/>
  <c r="F79" i="5"/>
  <c r="G79" i="5" s="1"/>
  <c r="G158" i="5"/>
  <c r="G173" i="5"/>
  <c r="G193" i="5"/>
  <c r="F140" i="5"/>
  <c r="F29" i="5"/>
  <c r="G29" i="5" s="1"/>
  <c r="F30" i="5"/>
  <c r="G54" i="5"/>
  <c r="F55" i="5"/>
  <c r="G67" i="5"/>
  <c r="F127" i="5"/>
  <c r="G127" i="5" s="1"/>
  <c r="F135" i="5"/>
  <c r="F143" i="5"/>
  <c r="F158" i="5"/>
  <c r="I2" i="5"/>
  <c r="J2" i="5" s="1"/>
  <c r="F132" i="5"/>
  <c r="G165" i="5"/>
  <c r="G167" i="5"/>
  <c r="F39" i="5"/>
  <c r="G39" i="5" s="1"/>
  <c r="G60" i="5"/>
  <c r="F61" i="5"/>
  <c r="G61" i="5" s="1"/>
  <c r="F67" i="5"/>
  <c r="F69" i="5"/>
  <c r="G69" i="5" s="1"/>
  <c r="F94" i="5"/>
  <c r="G94" i="5" s="1"/>
  <c r="F109" i="5"/>
  <c r="G159" i="5"/>
  <c r="F114" i="5"/>
  <c r="G114" i="5" s="1"/>
  <c r="F24" i="5"/>
  <c r="G24" i="5" s="1"/>
  <c r="F28" i="5"/>
  <c r="G28" i="5" s="1"/>
  <c r="F35" i="5"/>
  <c r="G35" i="5" s="1"/>
  <c r="F41" i="5"/>
  <c r="G41" i="5" s="1"/>
  <c r="F45" i="5"/>
  <c r="G45" i="5" s="1"/>
  <c r="F58" i="5"/>
  <c r="G58" i="5" s="1"/>
  <c r="G95" i="5"/>
  <c r="F98" i="5"/>
  <c r="G98" i="5" s="1"/>
  <c r="G110" i="5"/>
  <c r="F148" i="5"/>
  <c r="F199" i="5"/>
  <c r="G199" i="5" s="1"/>
  <c r="F201" i="5"/>
  <c r="G201" i="5" s="1"/>
  <c r="F173" i="5"/>
  <c r="F181" i="5"/>
  <c r="F175" i="5"/>
  <c r="F169" i="5"/>
  <c r="F163" i="5"/>
  <c r="F162" i="5"/>
  <c r="F161" i="5"/>
  <c r="G161" i="5" s="1"/>
  <c r="F155" i="5"/>
  <c r="G155" i="5" s="1"/>
  <c r="F147" i="5"/>
  <c r="F139" i="5"/>
  <c r="G139" i="5" s="1"/>
  <c r="F131" i="5"/>
  <c r="G131" i="5" s="1"/>
  <c r="F123" i="5"/>
  <c r="G123" i="5" s="1"/>
  <c r="F179" i="5"/>
  <c r="F153" i="5"/>
  <c r="G153" i="5" s="1"/>
  <c r="F145" i="5"/>
  <c r="F171" i="5"/>
  <c r="G171" i="5" s="1"/>
  <c r="F165" i="5"/>
  <c r="F121" i="5"/>
  <c r="F115" i="5"/>
  <c r="F99" i="5"/>
  <c r="F83" i="5"/>
  <c r="G83" i="5" s="1"/>
  <c r="F73" i="5"/>
  <c r="F119" i="5"/>
  <c r="G119" i="5" s="1"/>
  <c r="F113" i="5"/>
  <c r="F66" i="5"/>
  <c r="G66" i="5" s="1"/>
  <c r="F51" i="5"/>
  <c r="G51" i="5" s="1"/>
  <c r="F136" i="5"/>
  <c r="F128" i="5"/>
  <c r="F57" i="5"/>
  <c r="F144" i="5"/>
  <c r="F63" i="5"/>
  <c r="G63" i="5" s="1"/>
  <c r="F47" i="5"/>
  <c r="G47" i="5" s="1"/>
  <c r="F137" i="5"/>
  <c r="F129" i="5"/>
  <c r="F103" i="5"/>
  <c r="G103" i="5" s="1"/>
  <c r="F97" i="5"/>
  <c r="G97" i="5" s="1"/>
  <c r="F53" i="5"/>
  <c r="G53" i="5" s="1"/>
  <c r="F152" i="5"/>
  <c r="G152" i="5" s="1"/>
  <c r="F111" i="5"/>
  <c r="G111" i="5" s="1"/>
  <c r="F105" i="5"/>
  <c r="G105" i="5" s="1"/>
  <c r="F62" i="5"/>
  <c r="G62" i="5" s="1"/>
  <c r="F59" i="5"/>
  <c r="G59" i="5" s="1"/>
  <c r="F167" i="5"/>
  <c r="F74" i="5"/>
  <c r="F71" i="5"/>
  <c r="G71" i="5" s="1"/>
  <c r="F52" i="5"/>
  <c r="G52" i="5" s="1"/>
  <c r="F49" i="5"/>
  <c r="G49" i="5" s="1"/>
  <c r="F27" i="5"/>
  <c r="G27" i="5" s="1"/>
  <c r="F11" i="5"/>
  <c r="G11" i="5" s="1"/>
  <c r="F17" i="5"/>
  <c r="G17" i="5" s="1"/>
  <c r="F26" i="5"/>
  <c r="G30" i="5"/>
  <c r="G40" i="5"/>
  <c r="G48" i="5"/>
  <c r="F50" i="5"/>
  <c r="G50" i="5" s="1"/>
  <c r="G57" i="5"/>
  <c r="F64" i="5"/>
  <c r="G64" i="5" s="1"/>
  <c r="F80" i="5"/>
  <c r="G80" i="5" s="1"/>
  <c r="G87" i="5"/>
  <c r="G116" i="5"/>
  <c r="F12" i="5"/>
  <c r="G12" i="5" s="1"/>
  <c r="F34" i="5"/>
  <c r="G34" i="5" s="1"/>
  <c r="F65" i="5"/>
  <c r="F91" i="5"/>
  <c r="G91" i="5" s="1"/>
  <c r="E96" i="5"/>
  <c r="G96" i="5" s="1"/>
  <c r="E101" i="5"/>
  <c r="E129" i="5"/>
  <c r="G129" i="5" s="1"/>
  <c r="E137" i="5"/>
  <c r="G137" i="5" s="1"/>
  <c r="F150" i="5"/>
  <c r="G150" i="5" s="1"/>
  <c r="G169" i="5"/>
  <c r="G175" i="5"/>
  <c r="F190" i="5"/>
  <c r="F81" i="5"/>
  <c r="G81" i="5" s="1"/>
  <c r="F88" i="5"/>
  <c r="G88" i="5" s="1"/>
  <c r="F112" i="5"/>
  <c r="F126" i="5"/>
  <c r="F134" i="5"/>
  <c r="G134" i="5" s="1"/>
  <c r="F142" i="5"/>
  <c r="G142" i="5" s="1"/>
  <c r="G151" i="5"/>
  <c r="F157" i="5"/>
  <c r="G157" i="5" s="1"/>
  <c r="G163" i="5"/>
  <c r="F78" i="5"/>
  <c r="F85" i="5"/>
  <c r="F90" i="5"/>
  <c r="G90" i="5" s="1"/>
  <c r="F107" i="5"/>
  <c r="G107" i="5" s="1"/>
  <c r="G144" i="5"/>
  <c r="F159" i="5"/>
  <c r="F193" i="5"/>
  <c r="F36" i="5"/>
  <c r="G36" i="5" s="1"/>
  <c r="F75" i="5"/>
  <c r="G75" i="5" s="1"/>
  <c r="G109" i="5"/>
  <c r="F117" i="5"/>
  <c r="G117" i="5" s="1"/>
  <c r="F122" i="5"/>
  <c r="G122" i="5" s="1"/>
  <c r="G128" i="5"/>
  <c r="G135" i="5"/>
  <c r="G136" i="5"/>
  <c r="G143" i="5"/>
  <c r="F149" i="5"/>
  <c r="G149" i="5" s="1"/>
  <c r="F20" i="5"/>
  <c r="G20" i="5" s="1"/>
  <c r="F42" i="5"/>
  <c r="G42" i="5" s="1"/>
  <c r="F72" i="5"/>
  <c r="G72" i="5" s="1"/>
  <c r="F104" i="5"/>
  <c r="G104" i="5" s="1"/>
  <c r="F106" i="5"/>
  <c r="G106" i="5" s="1"/>
  <c r="G113" i="5"/>
  <c r="G124" i="5"/>
  <c r="F125" i="5"/>
  <c r="G132" i="5"/>
  <c r="F133" i="5"/>
  <c r="G140" i="5"/>
  <c r="F141" i="5"/>
  <c r="G141" i="5" s="1"/>
  <c r="F156" i="5"/>
  <c r="G156" i="5" s="1"/>
  <c r="G162" i="5"/>
  <c r="F14" i="5"/>
  <c r="G14" i="5" s="1"/>
  <c r="F32" i="5"/>
  <c r="G32" i="5" s="1"/>
  <c r="E68" i="5"/>
  <c r="G68" i="5" s="1"/>
  <c r="E70" i="5"/>
  <c r="G70" i="5" s="1"/>
  <c r="E78" i="5"/>
  <c r="G78" i="5" s="1"/>
  <c r="E85" i="5"/>
  <c r="G85" i="5" s="1"/>
  <c r="G89" i="5"/>
  <c r="F96" i="5"/>
  <c r="F101" i="5"/>
  <c r="E112" i="5"/>
  <c r="G112" i="5" s="1"/>
  <c r="E145" i="5"/>
  <c r="F168" i="5"/>
  <c r="G179" i="5"/>
  <c r="F194" i="5"/>
  <c r="E74" i="5"/>
  <c r="G74" i="5" s="1"/>
  <c r="F84" i="5"/>
  <c r="G84" i="5" s="1"/>
  <c r="F100" i="5"/>
  <c r="G100" i="5" s="1"/>
  <c r="F116" i="5"/>
  <c r="E164" i="5"/>
  <c r="G164" i="5" s="1"/>
  <c r="F180" i="5"/>
  <c r="G180" i="5" s="1"/>
  <c r="G147" i="5"/>
  <c r="F151" i="5"/>
  <c r="F172" i="5"/>
  <c r="F189" i="5"/>
  <c r="G189" i="5" s="1"/>
  <c r="F118" i="5"/>
  <c r="G118" i="5" s="1"/>
  <c r="G125" i="5"/>
  <c r="G133" i="5"/>
  <c r="E160" i="5"/>
  <c r="G160" i="5" s="1"/>
  <c r="F176" i="5"/>
  <c r="G176" i="5" s="1"/>
  <c r="F183" i="5"/>
  <c r="G183" i="5" s="1"/>
  <c r="F192" i="5"/>
  <c r="G192" i="5" s="1"/>
  <c r="G194" i="5"/>
  <c r="F196" i="5"/>
  <c r="G148" i="5"/>
  <c r="F166" i="5"/>
  <c r="F195" i="5"/>
  <c r="G195" i="5" s="1"/>
  <c r="G197" i="5"/>
  <c r="F92" i="5"/>
  <c r="G92" i="5" s="1"/>
  <c r="F108" i="5"/>
  <c r="G108" i="5" s="1"/>
  <c r="F120" i="5"/>
  <c r="F170" i="5"/>
  <c r="G187" i="5"/>
  <c r="F191" i="5"/>
  <c r="G191" i="5" s="1"/>
  <c r="E76" i="5"/>
  <c r="G76" i="5" s="1"/>
  <c r="F86" i="5"/>
  <c r="G86" i="5" s="1"/>
  <c r="F102" i="5"/>
  <c r="G102" i="5" s="1"/>
  <c r="E120" i="5"/>
  <c r="G120" i="5" s="1"/>
  <c r="F130" i="5"/>
  <c r="G130" i="5" s="1"/>
  <c r="F138" i="5"/>
  <c r="G138" i="5" s="1"/>
  <c r="F146" i="5"/>
  <c r="G146" i="5" s="1"/>
  <c r="F154" i="5"/>
  <c r="G154" i="5" s="1"/>
  <c r="F178" i="5"/>
  <c r="G178" i="5" s="1"/>
  <c r="F185" i="5"/>
  <c r="G185" i="5" s="1"/>
  <c r="E168" i="5"/>
  <c r="E170" i="5"/>
  <c r="G170" i="5" s="1"/>
  <c r="E172" i="5"/>
  <c r="G172" i="5" s="1"/>
  <c r="E181" i="5"/>
  <c r="G181" i="5" s="1"/>
  <c r="F182" i="5"/>
  <c r="F184" i="5"/>
  <c r="G184" i="5" s="1"/>
  <c r="F186" i="5"/>
  <c r="G186" i="5" s="1"/>
  <c r="F188" i="5"/>
  <c r="G188" i="5" s="1"/>
  <c r="G196" i="5"/>
  <c r="F164" i="5"/>
  <c r="F198" i="5"/>
  <c r="E166" i="5"/>
  <c r="G166" i="5" s="1"/>
  <c r="E174" i="5"/>
  <c r="G174" i="5" s="1"/>
  <c r="E182" i="5"/>
  <c r="G182" i="5" s="1"/>
  <c r="E190" i="5"/>
  <c r="E198" i="5"/>
  <c r="F200" i="5"/>
  <c r="G200" i="5" s="1"/>
  <c r="H184" i="5" l="1"/>
  <c r="I184" i="5"/>
  <c r="J184" i="5" s="1"/>
  <c r="H20" i="5"/>
  <c r="I20" i="5"/>
  <c r="J20" i="5" s="1"/>
  <c r="I131" i="5"/>
  <c r="J131" i="5" s="1"/>
  <c r="H131" i="5"/>
  <c r="H4" i="5"/>
  <c r="I4" i="5"/>
  <c r="J4" i="5" s="1"/>
  <c r="H32" i="5"/>
  <c r="I32" i="5" s="1"/>
  <c r="J32" i="5" s="1"/>
  <c r="H149" i="5"/>
  <c r="I149" i="5" s="1"/>
  <c r="J149" i="5" s="1"/>
  <c r="H75" i="5"/>
  <c r="I75" i="5" s="1"/>
  <c r="J75" i="5" s="1"/>
  <c r="H88" i="5"/>
  <c r="I88" i="5" s="1"/>
  <c r="J88" i="5" s="1"/>
  <c r="H17" i="5"/>
  <c r="I17" i="5" s="1"/>
  <c r="J17" i="5" s="1"/>
  <c r="I139" i="5"/>
  <c r="J139" i="5" s="1"/>
  <c r="H139" i="5"/>
  <c r="H58" i="5"/>
  <c r="I58" i="5" s="1"/>
  <c r="J58" i="5" s="1"/>
  <c r="H79" i="5"/>
  <c r="I79" i="5" s="1"/>
  <c r="J79" i="5" s="1"/>
  <c r="H3" i="5"/>
  <c r="I3" i="5" s="1"/>
  <c r="J3" i="5" s="1"/>
  <c r="H44" i="5"/>
  <c r="I44" i="5" s="1"/>
  <c r="J44" i="5" s="1"/>
  <c r="H118" i="5"/>
  <c r="I118" i="5" s="1"/>
  <c r="J118" i="5" s="1"/>
  <c r="H100" i="5"/>
  <c r="I100" i="5" s="1"/>
  <c r="J100" i="5" s="1"/>
  <c r="H14" i="5"/>
  <c r="I14" i="5" s="1"/>
  <c r="J14" i="5" s="1"/>
  <c r="I36" i="5"/>
  <c r="J36" i="5"/>
  <c r="H36" i="5"/>
  <c r="I81" i="5"/>
  <c r="J81" i="5"/>
  <c r="H81" i="5"/>
  <c r="H64" i="5"/>
  <c r="I64" i="5" s="1"/>
  <c r="J64" i="5" s="1"/>
  <c r="H11" i="5"/>
  <c r="I11" i="5" s="1"/>
  <c r="J11" i="5" s="1"/>
  <c r="H62" i="5"/>
  <c r="I62" i="5" s="1"/>
  <c r="J62" i="5" s="1"/>
  <c r="H94" i="5"/>
  <c r="I94" i="5"/>
  <c r="J94" i="5"/>
  <c r="H10" i="5"/>
  <c r="I10" i="5"/>
  <c r="J10" i="5" s="1"/>
  <c r="H31" i="5"/>
  <c r="I31" i="5" s="1"/>
  <c r="J31" i="5" s="1"/>
  <c r="H52" i="5"/>
  <c r="I52" i="5" s="1"/>
  <c r="J52" i="5" s="1"/>
  <c r="I191" i="5"/>
  <c r="J191" i="5" s="1"/>
  <c r="H191" i="5"/>
  <c r="H103" i="5"/>
  <c r="I103" i="5" s="1"/>
  <c r="J103" i="5" s="1"/>
  <c r="I84" i="5"/>
  <c r="J84" i="5" s="1"/>
  <c r="H84" i="5"/>
  <c r="H91" i="5"/>
  <c r="I91" i="5" s="1"/>
  <c r="J91" i="5" s="1"/>
  <c r="H105" i="5"/>
  <c r="I105" i="5" s="1"/>
  <c r="J105" i="5" s="1"/>
  <c r="H171" i="5"/>
  <c r="I171" i="5" s="1"/>
  <c r="J171" i="5" s="1"/>
  <c r="H201" i="5"/>
  <c r="I201" i="5" s="1"/>
  <c r="J201" i="5" s="1"/>
  <c r="Z2" i="5"/>
  <c r="K2" i="5" s="1"/>
  <c r="H9" i="5"/>
  <c r="I9" i="5" s="1"/>
  <c r="J9" i="5" s="1"/>
  <c r="H16" i="5"/>
  <c r="I16" i="5"/>
  <c r="J16" i="5" s="1"/>
  <c r="H19" i="5"/>
  <c r="I19" i="5" s="1"/>
  <c r="J19" i="5" s="1"/>
  <c r="I192" i="5"/>
  <c r="J192" i="5" s="1"/>
  <c r="H192" i="5"/>
  <c r="H106" i="5"/>
  <c r="I106" i="5" s="1"/>
  <c r="J106" i="5" s="1"/>
  <c r="J111" i="5"/>
  <c r="H111" i="5"/>
  <c r="I111" i="5"/>
  <c r="I161" i="5"/>
  <c r="J161" i="5" s="1"/>
  <c r="H161" i="5"/>
  <c r="H35" i="5"/>
  <c r="I35" i="5" s="1"/>
  <c r="J35" i="5" s="1"/>
  <c r="I102" i="5"/>
  <c r="J102" i="5" s="1"/>
  <c r="H102" i="5"/>
  <c r="H141" i="5"/>
  <c r="I141" i="5"/>
  <c r="J141" i="5" s="1"/>
  <c r="H142" i="5"/>
  <c r="I142" i="5" s="1"/>
  <c r="J142" i="5" s="1"/>
  <c r="J153" i="5"/>
  <c r="I153" i="5"/>
  <c r="H153" i="5"/>
  <c r="H7" i="5"/>
  <c r="I7" i="5" s="1"/>
  <c r="J7" i="5" s="1"/>
  <c r="H188" i="5"/>
  <c r="I188" i="5" s="1"/>
  <c r="J188" i="5" s="1"/>
  <c r="H185" i="5"/>
  <c r="I185" i="5" s="1"/>
  <c r="J185" i="5" s="1"/>
  <c r="H86" i="5"/>
  <c r="I86" i="5" s="1"/>
  <c r="J86" i="5" s="1"/>
  <c r="I176" i="5"/>
  <c r="J176" i="5" s="1"/>
  <c r="H176" i="5"/>
  <c r="H72" i="5"/>
  <c r="I72" i="5" s="1"/>
  <c r="J72" i="5" s="1"/>
  <c r="H122" i="5"/>
  <c r="I122" i="5"/>
  <c r="J122" i="5" s="1"/>
  <c r="H107" i="5"/>
  <c r="I107" i="5" s="1"/>
  <c r="J107" i="5" s="1"/>
  <c r="I134" i="5"/>
  <c r="J134" i="5" s="1"/>
  <c r="H134" i="5"/>
  <c r="H12" i="5"/>
  <c r="I12" i="5" s="1"/>
  <c r="J12" i="5" s="1"/>
  <c r="H71" i="5"/>
  <c r="I71" i="5" s="1"/>
  <c r="J71" i="5" s="1"/>
  <c r="I53" i="5"/>
  <c r="J53" i="5" s="1"/>
  <c r="H53" i="5"/>
  <c r="H83" i="5"/>
  <c r="I83" i="5" s="1"/>
  <c r="J83" i="5" s="1"/>
  <c r="H24" i="5"/>
  <c r="I24" i="5" s="1"/>
  <c r="J24" i="5" s="1"/>
  <c r="H6" i="5"/>
  <c r="I6" i="5"/>
  <c r="J6" i="5" s="1"/>
  <c r="H18" i="5"/>
  <c r="I18" i="5" s="1"/>
  <c r="J18" i="5" s="1"/>
  <c r="H189" i="5"/>
  <c r="I189" i="5" s="1"/>
  <c r="J189" i="5" s="1"/>
  <c r="H157" i="5"/>
  <c r="I157" i="5" s="1"/>
  <c r="J157" i="5" s="1"/>
  <c r="H27" i="5"/>
  <c r="I27" i="5" s="1"/>
  <c r="J27" i="5" s="1"/>
  <c r="H47" i="5"/>
  <c r="I47" i="5"/>
  <c r="J47" i="5" s="1"/>
  <c r="H155" i="5"/>
  <c r="I155" i="5" s="1"/>
  <c r="J155" i="5" s="1"/>
  <c r="H41" i="5"/>
  <c r="I41" i="5" s="1"/>
  <c r="J41" i="5" s="1"/>
  <c r="H56" i="5"/>
  <c r="I56" i="5" s="1"/>
  <c r="J56" i="5" s="1"/>
  <c r="H156" i="5"/>
  <c r="I156" i="5"/>
  <c r="J156" i="5"/>
  <c r="H50" i="5"/>
  <c r="I50" i="5"/>
  <c r="J50" i="5" s="1"/>
  <c r="H63" i="5"/>
  <c r="I63" i="5" s="1"/>
  <c r="J63" i="5" s="1"/>
  <c r="I199" i="5"/>
  <c r="J199" i="5" s="1"/>
  <c r="H199" i="5"/>
  <c r="I29" i="5"/>
  <c r="J29" i="5" s="1"/>
  <c r="H29" i="5"/>
  <c r="H8" i="5"/>
  <c r="I8" i="5"/>
  <c r="J8" i="5" s="1"/>
  <c r="H183" i="5"/>
  <c r="I183" i="5" s="1"/>
  <c r="J183" i="5" s="1"/>
  <c r="H104" i="5"/>
  <c r="I104" i="5" s="1"/>
  <c r="J104" i="5" s="1"/>
  <c r="H34" i="5"/>
  <c r="I34" i="5" s="1"/>
  <c r="J34" i="5" s="1"/>
  <c r="H152" i="5"/>
  <c r="I152" i="5" s="1"/>
  <c r="J152" i="5" s="1"/>
  <c r="H28" i="5"/>
  <c r="I28" i="5" s="1"/>
  <c r="J28" i="5" s="1"/>
  <c r="I186" i="5"/>
  <c r="J186" i="5" s="1"/>
  <c r="H186" i="5"/>
  <c r="I178" i="5"/>
  <c r="J178" i="5" s="1"/>
  <c r="H178" i="5"/>
  <c r="H195" i="5"/>
  <c r="I195" i="5" s="1"/>
  <c r="J195" i="5" s="1"/>
  <c r="H180" i="5"/>
  <c r="I180" i="5" s="1"/>
  <c r="J180" i="5" s="1"/>
  <c r="H42" i="5"/>
  <c r="I42" i="5"/>
  <c r="J42" i="5" s="1"/>
  <c r="I117" i="5"/>
  <c r="J117" i="5" s="1"/>
  <c r="H117" i="5"/>
  <c r="H97" i="5"/>
  <c r="I97" i="5" s="1"/>
  <c r="J97" i="5" s="1"/>
  <c r="H123" i="5"/>
  <c r="I123" i="5" s="1"/>
  <c r="J123" i="5" s="1"/>
  <c r="I114" i="5"/>
  <c r="J114" i="5" s="1"/>
  <c r="H114" i="5"/>
  <c r="J39" i="5"/>
  <c r="H39" i="5"/>
  <c r="I39" i="5"/>
  <c r="H127" i="5"/>
  <c r="I127" i="5"/>
  <c r="J127" i="5"/>
  <c r="H5" i="5"/>
  <c r="I5" i="5" s="1"/>
  <c r="J5" i="5" s="1"/>
  <c r="H57" i="5"/>
  <c r="I57" i="5"/>
  <c r="J57" i="5" s="1"/>
  <c r="H82" i="5"/>
  <c r="I82" i="5" s="1"/>
  <c r="J82" i="5" s="1"/>
  <c r="H92" i="5"/>
  <c r="I92" i="5" s="1"/>
  <c r="J92" i="5" s="1"/>
  <c r="H125" i="5"/>
  <c r="I125" i="5"/>
  <c r="J125" i="5" s="1"/>
  <c r="H60" i="5"/>
  <c r="I60" i="5"/>
  <c r="J60" i="5"/>
  <c r="H67" i="5"/>
  <c r="I67" i="5" s="1"/>
  <c r="J67" i="5" s="1"/>
  <c r="H115" i="5"/>
  <c r="I115" i="5" s="1"/>
  <c r="J115" i="5" s="1"/>
  <c r="H65" i="5"/>
  <c r="I65" i="5" s="1"/>
  <c r="J65" i="5" s="1"/>
  <c r="H37" i="5"/>
  <c r="I37" i="5" s="1"/>
  <c r="J37" i="5" s="1"/>
  <c r="I136" i="5"/>
  <c r="J136" i="5" s="1"/>
  <c r="H136" i="5"/>
  <c r="H90" i="5"/>
  <c r="I90" i="5" s="1"/>
  <c r="J90" i="5" s="1"/>
  <c r="H129" i="5"/>
  <c r="I129" i="5" s="1"/>
  <c r="J129" i="5" s="1"/>
  <c r="H116" i="5"/>
  <c r="I116" i="5" s="1"/>
  <c r="J116" i="5" s="1"/>
  <c r="H48" i="5"/>
  <c r="I48" i="5"/>
  <c r="J48" i="5" s="1"/>
  <c r="H45" i="5"/>
  <c r="I45" i="5" s="1"/>
  <c r="J45" i="5" s="1"/>
  <c r="I158" i="5"/>
  <c r="J158" i="5" s="1"/>
  <c r="H158" i="5"/>
  <c r="H46" i="5"/>
  <c r="I46" i="5"/>
  <c r="J46" i="5" s="1"/>
  <c r="H93" i="5"/>
  <c r="I93" i="5" s="1"/>
  <c r="J93" i="5" s="1"/>
  <c r="J25" i="5"/>
  <c r="H25" i="5"/>
  <c r="I25" i="5"/>
  <c r="H133" i="5"/>
  <c r="I133" i="5"/>
  <c r="J133" i="5" s="1"/>
  <c r="H85" i="5"/>
  <c r="I85" i="5" s="1"/>
  <c r="J85" i="5" s="1"/>
  <c r="H113" i="5"/>
  <c r="I113" i="5"/>
  <c r="J113" i="5" s="1"/>
  <c r="I109" i="5"/>
  <c r="J109" i="5" s="1"/>
  <c r="H109" i="5"/>
  <c r="I154" i="5"/>
  <c r="J154" i="5" s="1"/>
  <c r="H154" i="5"/>
  <c r="H13" i="5"/>
  <c r="I13" i="5" s="1"/>
  <c r="J13" i="5" s="1"/>
  <c r="H164" i="5"/>
  <c r="I164" i="5" s="1"/>
  <c r="J164" i="5" s="1"/>
  <c r="J138" i="5"/>
  <c r="H138" i="5"/>
  <c r="I138" i="5"/>
  <c r="H187" i="5"/>
  <c r="I187" i="5" s="1"/>
  <c r="J187" i="5" s="1"/>
  <c r="H68" i="5"/>
  <c r="I68" i="5"/>
  <c r="J68" i="5" s="1"/>
  <c r="H140" i="5"/>
  <c r="I140" i="5"/>
  <c r="J140" i="5"/>
  <c r="H135" i="5"/>
  <c r="I135" i="5"/>
  <c r="J135" i="5" s="1"/>
  <c r="I87" i="5"/>
  <c r="J87" i="5" s="1"/>
  <c r="H87" i="5"/>
  <c r="H40" i="5"/>
  <c r="I40" i="5"/>
  <c r="J40" i="5" s="1"/>
  <c r="H110" i="5"/>
  <c r="I110" i="5" s="1"/>
  <c r="J110" i="5" s="1"/>
  <c r="H54" i="5"/>
  <c r="I54" i="5" s="1"/>
  <c r="J54" i="5" s="1"/>
  <c r="H43" i="5"/>
  <c r="I43" i="5" s="1"/>
  <c r="J43" i="5" s="1"/>
  <c r="H194" i="5"/>
  <c r="I194" i="5" s="1"/>
  <c r="J194" i="5" s="1"/>
  <c r="H179" i="5"/>
  <c r="I179" i="5" s="1"/>
  <c r="J179" i="5" s="1"/>
  <c r="H95" i="5"/>
  <c r="I95" i="5" s="1"/>
  <c r="J95" i="5" s="1"/>
  <c r="I167" i="5"/>
  <c r="J167" i="5" s="1"/>
  <c r="H167" i="5"/>
  <c r="H193" i="5"/>
  <c r="I193" i="5" s="1"/>
  <c r="J193" i="5" s="1"/>
  <c r="H121" i="5"/>
  <c r="I121" i="5" s="1"/>
  <c r="J121" i="5" s="1"/>
  <c r="I26" i="5"/>
  <c r="J26" i="5" s="1"/>
  <c r="H26" i="5"/>
  <c r="H151" i="5"/>
  <c r="I151" i="5"/>
  <c r="J151" i="5" s="1"/>
  <c r="H55" i="5"/>
  <c r="I55" i="5" s="1"/>
  <c r="J55" i="5" s="1"/>
  <c r="H166" i="5"/>
  <c r="I166" i="5" s="1"/>
  <c r="J166" i="5" s="1"/>
  <c r="H130" i="5"/>
  <c r="I130" i="5" s="1"/>
  <c r="J130" i="5" s="1"/>
  <c r="H160" i="5"/>
  <c r="I160" i="5" s="1"/>
  <c r="J160" i="5" s="1"/>
  <c r="H112" i="5"/>
  <c r="I112" i="5"/>
  <c r="J112" i="5" s="1"/>
  <c r="I128" i="5"/>
  <c r="J128" i="5" s="1"/>
  <c r="H128" i="5"/>
  <c r="H175" i="5"/>
  <c r="I175" i="5" s="1"/>
  <c r="J175" i="5" s="1"/>
  <c r="G101" i="5"/>
  <c r="I80" i="5"/>
  <c r="J80" i="5" s="1"/>
  <c r="H80" i="5"/>
  <c r="I30" i="5"/>
  <c r="J30" i="5" s="1"/>
  <c r="H30" i="5"/>
  <c r="H182" i="5"/>
  <c r="I182" i="5" s="1"/>
  <c r="J182" i="5" s="1"/>
  <c r="H150" i="5"/>
  <c r="I150" i="5" s="1"/>
  <c r="J150" i="5" s="1"/>
  <c r="H61" i="5"/>
  <c r="I61" i="5" s="1"/>
  <c r="J61" i="5" s="1"/>
  <c r="H99" i="5"/>
  <c r="I99" i="5" s="1"/>
  <c r="J99" i="5" s="1"/>
  <c r="H126" i="5"/>
  <c r="I126" i="5" s="1"/>
  <c r="J126" i="5" s="1"/>
  <c r="H173" i="5"/>
  <c r="I173" i="5" s="1"/>
  <c r="J173" i="5" s="1"/>
  <c r="I146" i="5"/>
  <c r="J146" i="5" s="1"/>
  <c r="H146" i="5"/>
  <c r="H132" i="5"/>
  <c r="I132" i="5"/>
  <c r="J132" i="5" s="1"/>
  <c r="H169" i="5"/>
  <c r="I169" i="5" s="1"/>
  <c r="J169" i="5" s="1"/>
  <c r="H96" i="5"/>
  <c r="I96" i="5" s="1"/>
  <c r="J96" i="5" s="1"/>
  <c r="H177" i="5"/>
  <c r="I177" i="5" s="1"/>
  <c r="J177" i="5" s="1"/>
  <c r="H76" i="5"/>
  <c r="I76" i="5" s="1"/>
  <c r="J76" i="5" s="1"/>
  <c r="H147" i="5"/>
  <c r="I147" i="5" s="1"/>
  <c r="J147" i="5" s="1"/>
  <c r="H162" i="5"/>
  <c r="I162" i="5" s="1"/>
  <c r="J162" i="5" s="1"/>
  <c r="I144" i="5"/>
  <c r="J144" i="5" s="1"/>
  <c r="H144" i="5"/>
  <c r="I174" i="5"/>
  <c r="J174" i="5" s="1"/>
  <c r="H174" i="5"/>
  <c r="H119" i="5"/>
  <c r="I119" i="5" s="1"/>
  <c r="J119" i="5" s="1"/>
  <c r="H165" i="5"/>
  <c r="I165" i="5" s="1"/>
  <c r="J165" i="5" s="1"/>
  <c r="I73" i="5"/>
  <c r="J73" i="5" s="1"/>
  <c r="H73" i="5"/>
  <c r="H70" i="5"/>
  <c r="I70" i="5" s="1"/>
  <c r="J70" i="5" s="1"/>
  <c r="H200" i="5"/>
  <c r="I200" i="5" s="1"/>
  <c r="J200" i="5" s="1"/>
  <c r="H120" i="5"/>
  <c r="I120" i="5"/>
  <c r="J120" i="5" s="1"/>
  <c r="G198" i="5"/>
  <c r="H148" i="5"/>
  <c r="I148" i="5" s="1"/>
  <c r="J148" i="5" s="1"/>
  <c r="I74" i="5"/>
  <c r="J74" i="5" s="1"/>
  <c r="H74" i="5"/>
  <c r="H59" i="5"/>
  <c r="I59" i="5" s="1"/>
  <c r="J59" i="5" s="1"/>
  <c r="H51" i="5"/>
  <c r="I51" i="5" s="1"/>
  <c r="J51" i="5" s="1"/>
  <c r="H69" i="5"/>
  <c r="I69" i="5" s="1"/>
  <c r="J69" i="5" s="1"/>
  <c r="H108" i="5"/>
  <c r="I108" i="5" s="1"/>
  <c r="J108" i="5" s="1"/>
  <c r="I77" i="5"/>
  <c r="J77" i="5"/>
  <c r="H77" i="5"/>
  <c r="H78" i="5"/>
  <c r="I78" i="5" s="1"/>
  <c r="J78" i="5" s="1"/>
  <c r="H143" i="5"/>
  <c r="I143" i="5" s="1"/>
  <c r="J143" i="5" s="1"/>
  <c r="H137" i="5"/>
  <c r="I137" i="5" s="1"/>
  <c r="J137" i="5" s="1"/>
  <c r="H49" i="5"/>
  <c r="I49" i="5" s="1"/>
  <c r="J49" i="5" s="1"/>
  <c r="H159" i="5"/>
  <c r="I159" i="5" s="1"/>
  <c r="J159" i="5" s="1"/>
  <c r="H181" i="5"/>
  <c r="I181" i="5" s="1"/>
  <c r="J181" i="5" s="1"/>
  <c r="I197" i="5"/>
  <c r="J197" i="5" s="1"/>
  <c r="H197" i="5"/>
  <c r="G145" i="5"/>
  <c r="H172" i="5"/>
  <c r="I172" i="5" s="1"/>
  <c r="J172" i="5" s="1"/>
  <c r="H170" i="5"/>
  <c r="I170" i="5" s="1"/>
  <c r="J170" i="5" s="1"/>
  <c r="H196" i="5"/>
  <c r="I196" i="5"/>
  <c r="J196" i="5" s="1"/>
  <c r="G168" i="5"/>
  <c r="G190" i="5"/>
  <c r="H89" i="5"/>
  <c r="I89" i="5" s="1"/>
  <c r="J89" i="5" s="1"/>
  <c r="H124" i="5"/>
  <c r="I124" i="5"/>
  <c r="J124" i="5"/>
  <c r="H163" i="5"/>
  <c r="I163" i="5" s="1"/>
  <c r="J163" i="5" s="1"/>
  <c r="I66" i="5"/>
  <c r="J66" i="5" s="1"/>
  <c r="H66" i="5"/>
  <c r="I98" i="5"/>
  <c r="J98" i="5"/>
  <c r="H98" i="5"/>
  <c r="Z7" i="5" l="1"/>
  <c r="K7" i="5" s="1"/>
  <c r="Z126" i="5"/>
  <c r="K126" i="5" s="1"/>
  <c r="Z80" i="5"/>
  <c r="K80" i="5" s="1"/>
  <c r="Z130" i="5"/>
  <c r="K130" i="5" s="1"/>
  <c r="Z63" i="5"/>
  <c r="K63" i="5" s="1"/>
  <c r="Z58" i="5"/>
  <c r="K58" i="5" s="1"/>
  <c r="Z4" i="5"/>
  <c r="K4" i="5" s="1"/>
  <c r="Z99" i="5"/>
  <c r="K99" i="5" s="1"/>
  <c r="Z133" i="5"/>
  <c r="K133" i="5" s="1"/>
  <c r="Z47" i="5"/>
  <c r="K47" i="5" s="1"/>
  <c r="Z68" i="5"/>
  <c r="K68" i="5" s="1"/>
  <c r="Z122" i="5"/>
  <c r="K122" i="5" s="1"/>
  <c r="Y123" i="5"/>
  <c r="Y124" i="5" s="1"/>
  <c r="Y125" i="5" s="1"/>
  <c r="Y126" i="5" s="1"/>
  <c r="Y127" i="5" s="1"/>
  <c r="Y128" i="5" s="1"/>
  <c r="Y129" i="5" s="1"/>
  <c r="Y130" i="5" s="1"/>
  <c r="Y131" i="5" s="1"/>
  <c r="Y132" i="5" s="1"/>
  <c r="Y133" i="5" s="1"/>
  <c r="Y134" i="5" s="1"/>
  <c r="Y135" i="5" s="1"/>
  <c r="Y136" i="5" s="1"/>
  <c r="Y137" i="5" s="1"/>
  <c r="Y138" i="5" s="1"/>
  <c r="Y139" i="5" s="1"/>
  <c r="Y140" i="5" s="1"/>
  <c r="Y141" i="5" s="1"/>
  <c r="Y142" i="5" s="1"/>
  <c r="Y143" i="5" s="1"/>
  <c r="Y144" i="5" s="1"/>
  <c r="Z100" i="5"/>
  <c r="K100" i="5" s="1"/>
  <c r="Z71" i="5"/>
  <c r="K71" i="5" s="1"/>
  <c r="Z44" i="5"/>
  <c r="K44" i="5" s="1"/>
  <c r="Z75" i="5"/>
  <c r="K75" i="5" s="1"/>
  <c r="Z125" i="5"/>
  <c r="K125" i="5" s="1"/>
  <c r="Z8" i="5"/>
  <c r="K8" i="5" s="1"/>
  <c r="Z139" i="5"/>
  <c r="K139" i="5" s="1"/>
  <c r="Z51" i="5"/>
  <c r="K51" i="5" s="1"/>
  <c r="Z132" i="5"/>
  <c r="K132" i="5" s="1"/>
  <c r="Z128" i="5"/>
  <c r="K128" i="5" s="1"/>
  <c r="Z65" i="5"/>
  <c r="K65" i="5" s="1"/>
  <c r="Z53" i="5"/>
  <c r="K53" i="5" s="1"/>
  <c r="Z162" i="5"/>
  <c r="K162" i="5" s="1"/>
  <c r="Y163" i="5"/>
  <c r="Y164" i="5" s="1"/>
  <c r="Y165" i="5" s="1"/>
  <c r="Y166" i="5" s="1"/>
  <c r="Y167" i="5" s="1"/>
  <c r="Z135" i="5"/>
  <c r="K135" i="5" s="1"/>
  <c r="Z74" i="5"/>
  <c r="K74" i="5" s="1"/>
  <c r="Z73" i="5"/>
  <c r="K73" i="5" s="1"/>
  <c r="Z93" i="5"/>
  <c r="K93" i="5" s="1"/>
  <c r="Z57" i="5"/>
  <c r="K57" i="5" s="1"/>
  <c r="Z142" i="5"/>
  <c r="K142" i="5" s="1"/>
  <c r="Y3" i="5"/>
  <c r="Y4" i="5" s="1"/>
  <c r="Y5" i="5" s="1"/>
  <c r="Y6" i="5" s="1"/>
  <c r="Y7" i="5" s="1"/>
  <c r="Y8" i="5" s="1"/>
  <c r="Y9" i="5" s="1"/>
  <c r="Y10" i="5" s="1"/>
  <c r="Y11" i="5" s="1"/>
  <c r="Y12" i="5" s="1"/>
  <c r="Y13" i="5" s="1"/>
  <c r="Y14" i="5" s="1"/>
  <c r="Y15" i="5" s="1"/>
  <c r="Z55" i="5"/>
  <c r="K55" i="5" s="1"/>
  <c r="Z136" i="5"/>
  <c r="K136" i="5" s="1"/>
  <c r="Z83" i="5"/>
  <c r="K83" i="5" s="1"/>
  <c r="Z52" i="5"/>
  <c r="K52" i="5" s="1"/>
  <c r="Z137" i="5"/>
  <c r="K137" i="5" s="1"/>
  <c r="Z45" i="5"/>
  <c r="K45" i="5" s="1"/>
  <c r="Z131" i="5"/>
  <c r="K131" i="5" s="1"/>
  <c r="Z143" i="5"/>
  <c r="K143" i="5" s="1"/>
  <c r="Z144" i="5"/>
  <c r="K144" i="5" s="1"/>
  <c r="Z87" i="5"/>
  <c r="K87" i="5" s="1"/>
  <c r="Z92" i="5"/>
  <c r="K92" i="5" s="1"/>
  <c r="Z88" i="5"/>
  <c r="K88" i="5" s="1"/>
  <c r="Z78" i="5"/>
  <c r="K78" i="5" s="1"/>
  <c r="Z82" i="5"/>
  <c r="K82" i="5" s="1"/>
  <c r="B3" i="6" s="1"/>
  <c r="C3" i="6" s="1"/>
  <c r="D3" i="6" s="1"/>
  <c r="F3" i="6" s="1"/>
  <c r="Y83" i="5"/>
  <c r="Y84" i="5" s="1"/>
  <c r="Y85" i="5" s="1"/>
  <c r="Y86" i="5" s="1"/>
  <c r="Y87" i="5" s="1"/>
  <c r="Y88" i="5" s="1"/>
  <c r="Y89" i="5" s="1"/>
  <c r="Y90" i="5" s="1"/>
  <c r="Y91" i="5" s="1"/>
  <c r="Y92" i="5" s="1"/>
  <c r="Y93" i="5" s="1"/>
  <c r="Y94" i="5" s="1"/>
  <c r="Y95" i="5" s="1"/>
  <c r="Y96" i="5" s="1"/>
  <c r="Y97" i="5" s="1"/>
  <c r="Y98" i="5" s="1"/>
  <c r="Y99" i="5" s="1"/>
  <c r="Y100" i="5" s="1"/>
  <c r="Z42" i="5"/>
  <c r="K42" i="5" s="1"/>
  <c r="Y43" i="5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Z81" i="5" s="1"/>
  <c r="K81" i="5" s="1"/>
  <c r="Z54" i="5"/>
  <c r="K54" i="5" s="1"/>
  <c r="Z46" i="5"/>
  <c r="K46" i="5" s="1"/>
  <c r="Z129" i="5"/>
  <c r="K129" i="5" s="1"/>
  <c r="Z86" i="5"/>
  <c r="K86" i="5" s="1"/>
  <c r="Z141" i="5"/>
  <c r="K141" i="5" s="1"/>
  <c r="H145" i="5"/>
  <c r="I145" i="5" s="1"/>
  <c r="J145" i="5" s="1"/>
  <c r="Z60" i="5"/>
  <c r="K60" i="5" s="1"/>
  <c r="Z127" i="5"/>
  <c r="K127" i="5" s="1"/>
  <c r="Z94" i="5"/>
  <c r="K94" i="5" s="1"/>
  <c r="Z124" i="5"/>
  <c r="K124" i="5" s="1"/>
  <c r="Z138" i="5"/>
  <c r="K138" i="5" s="1"/>
  <c r="Z98" i="5"/>
  <c r="K98" i="5" s="1"/>
  <c r="H198" i="5"/>
  <c r="I198" i="5" s="1"/>
  <c r="J198" i="5" s="1"/>
  <c r="J101" i="5"/>
  <c r="I101" i="5"/>
  <c r="H101" i="5"/>
  <c r="Z140" i="5"/>
  <c r="K140" i="5" s="1"/>
  <c r="H190" i="5"/>
  <c r="I190" i="5"/>
  <c r="J190" i="5" s="1"/>
  <c r="I168" i="5"/>
  <c r="J168" i="5" s="1"/>
  <c r="H168" i="5"/>
  <c r="Z145" i="5" l="1"/>
  <c r="K145" i="5" s="1"/>
  <c r="Z165" i="5"/>
  <c r="K165" i="5" s="1"/>
  <c r="Y16" i="5"/>
  <c r="Z15" i="5"/>
  <c r="K15" i="5" s="1"/>
  <c r="Z9" i="5"/>
  <c r="K9" i="5" s="1"/>
  <c r="Z64" i="5"/>
  <c r="K64" i="5" s="1"/>
  <c r="Z3" i="5"/>
  <c r="K3" i="5" s="1"/>
  <c r="Z97" i="5"/>
  <c r="K97" i="5" s="1"/>
  <c r="Z13" i="5"/>
  <c r="K13" i="5" s="1"/>
  <c r="Z77" i="5"/>
  <c r="K77" i="5" s="1"/>
  <c r="Z48" i="5"/>
  <c r="K48" i="5" s="1"/>
  <c r="Z84" i="5"/>
  <c r="K84" i="5" s="1"/>
  <c r="Z67" i="5"/>
  <c r="K67" i="5" s="1"/>
  <c r="Z61" i="5"/>
  <c r="K61" i="5" s="1"/>
  <c r="Z66" i="5"/>
  <c r="K66" i="5" s="1"/>
  <c r="Z11" i="5"/>
  <c r="K11" i="5" s="1"/>
  <c r="Y168" i="5"/>
  <c r="Y169" i="5" s="1"/>
  <c r="Z166" i="5"/>
  <c r="K166" i="5" s="1"/>
  <c r="Z6" i="5"/>
  <c r="K6" i="5" s="1"/>
  <c r="Z10" i="5"/>
  <c r="K10" i="5" s="1"/>
  <c r="Z95" i="5"/>
  <c r="K95" i="5" s="1"/>
  <c r="Z69" i="5"/>
  <c r="K69" i="5" s="1"/>
  <c r="Z12" i="5"/>
  <c r="K12" i="5" s="1"/>
  <c r="Z89" i="5"/>
  <c r="K89" i="5" s="1"/>
  <c r="Z167" i="5"/>
  <c r="K167" i="5" s="1"/>
  <c r="B8" i="6" s="1"/>
  <c r="Z62" i="5"/>
  <c r="K62" i="5" s="1"/>
  <c r="Z50" i="5"/>
  <c r="K50" i="5" s="1"/>
  <c r="Z96" i="5"/>
  <c r="K96" i="5" s="1"/>
  <c r="Z90" i="5"/>
  <c r="K90" i="5" s="1"/>
  <c r="Z91" i="5"/>
  <c r="K91" i="5" s="1"/>
  <c r="Z70" i="5"/>
  <c r="K70" i="5" s="1"/>
  <c r="Z43" i="5"/>
  <c r="K43" i="5" s="1"/>
  <c r="Z14" i="5"/>
  <c r="K14" i="5" s="1"/>
  <c r="Z134" i="5"/>
  <c r="K134" i="5" s="1"/>
  <c r="Z85" i="5"/>
  <c r="K85" i="5" s="1"/>
  <c r="Z5" i="5"/>
  <c r="K5" i="5" s="1"/>
  <c r="Z79" i="5"/>
  <c r="K79" i="5" s="1"/>
  <c r="Z76" i="5"/>
  <c r="K76" i="5" s="1"/>
  <c r="Y101" i="5"/>
  <c r="Y102" i="5" s="1"/>
  <c r="Z72" i="5"/>
  <c r="K72" i="5" s="1"/>
  <c r="Z56" i="5"/>
  <c r="K56" i="5" s="1"/>
  <c r="Z59" i="5"/>
  <c r="K59" i="5" s="1"/>
  <c r="Z163" i="5"/>
  <c r="K163" i="5" s="1"/>
  <c r="Y145" i="5"/>
  <c r="Y146" i="5" s="1"/>
  <c r="Z123" i="5"/>
  <c r="K123" i="5" s="1"/>
  <c r="Z164" i="5"/>
  <c r="K164" i="5" s="1"/>
  <c r="B5" i="6" s="1"/>
  <c r="Z49" i="5"/>
  <c r="K49" i="5" s="1"/>
  <c r="Y147" i="5" l="1"/>
  <c r="Z146" i="5"/>
  <c r="K146" i="5" s="1"/>
  <c r="Z168" i="5"/>
  <c r="K168" i="5" s="1"/>
  <c r="B9" i="6" s="1"/>
  <c r="C9" i="6" s="1"/>
  <c r="D9" i="6" s="1"/>
  <c r="F9" i="6" s="1"/>
  <c r="Y17" i="5"/>
  <c r="Z16" i="5"/>
  <c r="K16" i="5" s="1"/>
  <c r="Y170" i="5"/>
  <c r="Z169" i="5"/>
  <c r="K169" i="5" s="1"/>
  <c r="B10" i="6" s="1"/>
  <c r="C10" i="6" s="1"/>
  <c r="D10" i="6" s="1"/>
  <c r="F10" i="6" s="1"/>
  <c r="Y103" i="5"/>
  <c r="Z102" i="5"/>
  <c r="K102" i="5" s="1"/>
  <c r="Z101" i="5"/>
  <c r="K101" i="5" s="1"/>
  <c r="B4" i="6"/>
  <c r="C4" i="6" s="1"/>
  <c r="D4" i="6" s="1"/>
  <c r="F4" i="6" s="1"/>
  <c r="B7" i="6"/>
  <c r="C8" i="6" s="1"/>
  <c r="D8" i="6" s="1"/>
  <c r="F8" i="6" s="1"/>
  <c r="B6" i="6"/>
  <c r="C6" i="6" s="1"/>
  <c r="D6" i="6" s="1"/>
  <c r="F6" i="6" s="1"/>
  <c r="Y171" i="5" l="1"/>
  <c r="Z170" i="5"/>
  <c r="K170" i="5" s="1"/>
  <c r="B11" i="6" s="1"/>
  <c r="C11" i="6" s="1"/>
  <c r="D11" i="6" s="1"/>
  <c r="F11" i="6" s="1"/>
  <c r="C5" i="6"/>
  <c r="D5" i="6" s="1"/>
  <c r="F5" i="6" s="1"/>
  <c r="Y18" i="5"/>
  <c r="Z17" i="5"/>
  <c r="K17" i="5" s="1"/>
  <c r="Y148" i="5"/>
  <c r="Z147" i="5"/>
  <c r="K147" i="5" s="1"/>
  <c r="Y104" i="5"/>
  <c r="Z103" i="5"/>
  <c r="K103" i="5" s="1"/>
  <c r="C7" i="6"/>
  <c r="D7" i="6" s="1"/>
  <c r="F7" i="6" s="1"/>
  <c r="Y149" i="5" l="1"/>
  <c r="Z148" i="5"/>
  <c r="K148" i="5" s="1"/>
  <c r="Y19" i="5"/>
  <c r="Z18" i="5"/>
  <c r="K18" i="5" s="1"/>
  <c r="Y172" i="5"/>
  <c r="Z171" i="5"/>
  <c r="K171" i="5" s="1"/>
  <c r="B12" i="6" s="1"/>
  <c r="C12" i="6" s="1"/>
  <c r="D12" i="6" s="1"/>
  <c r="F12" i="6" s="1"/>
  <c r="Y105" i="5"/>
  <c r="Z104" i="5"/>
  <c r="K104" i="5" s="1"/>
  <c r="Y150" i="5" l="1"/>
  <c r="Z149" i="5"/>
  <c r="K149" i="5" s="1"/>
  <c r="Y173" i="5"/>
  <c r="Z172" i="5"/>
  <c r="K172" i="5" s="1"/>
  <c r="B13" i="6" s="1"/>
  <c r="C13" i="6" s="1"/>
  <c r="D13" i="6" s="1"/>
  <c r="F13" i="6" s="1"/>
  <c r="Y20" i="5"/>
  <c r="Z19" i="5"/>
  <c r="K19" i="5" s="1"/>
  <c r="Y106" i="5"/>
  <c r="Z105" i="5"/>
  <c r="K105" i="5" s="1"/>
  <c r="Y151" i="5" l="1"/>
  <c r="Z150" i="5"/>
  <c r="K150" i="5" s="1"/>
  <c r="Y107" i="5"/>
  <c r="Z106" i="5"/>
  <c r="K106" i="5" s="1"/>
  <c r="Y21" i="5"/>
  <c r="Z20" i="5"/>
  <c r="K20" i="5" s="1"/>
  <c r="Y174" i="5"/>
  <c r="Z173" i="5"/>
  <c r="K173" i="5" s="1"/>
  <c r="B14" i="6" s="1"/>
  <c r="C14" i="6" s="1"/>
  <c r="D14" i="6" s="1"/>
  <c r="F14" i="6" s="1"/>
  <c r="Y22" i="5" l="1"/>
  <c r="Z21" i="5"/>
  <c r="K21" i="5" s="1"/>
  <c r="Y108" i="5"/>
  <c r="Z107" i="5"/>
  <c r="K107" i="5" s="1"/>
  <c r="Y175" i="5"/>
  <c r="Z174" i="5"/>
  <c r="K174" i="5" s="1"/>
  <c r="B15" i="6" s="1"/>
  <c r="C15" i="6" s="1"/>
  <c r="D15" i="6" s="1"/>
  <c r="F15" i="6" s="1"/>
  <c r="Y152" i="5"/>
  <c r="Z151" i="5"/>
  <c r="K151" i="5" s="1"/>
  <c r="Y153" i="5" l="1"/>
  <c r="Z152" i="5"/>
  <c r="K152" i="5" s="1"/>
  <c r="Y176" i="5"/>
  <c r="Z175" i="5"/>
  <c r="K175" i="5" s="1"/>
  <c r="B16" i="6" s="1"/>
  <c r="C16" i="6" s="1"/>
  <c r="D16" i="6" s="1"/>
  <c r="F16" i="6" s="1"/>
  <c r="Y109" i="5"/>
  <c r="Z108" i="5"/>
  <c r="K108" i="5" s="1"/>
  <c r="Y23" i="5"/>
  <c r="Z22" i="5"/>
  <c r="K22" i="5" s="1"/>
  <c r="Y24" i="5" l="1"/>
  <c r="Z23" i="5"/>
  <c r="K23" i="5" s="1"/>
  <c r="Y110" i="5"/>
  <c r="Z109" i="5"/>
  <c r="K109" i="5" s="1"/>
  <c r="Y177" i="5"/>
  <c r="Z176" i="5"/>
  <c r="K176" i="5" s="1"/>
  <c r="B17" i="6" s="1"/>
  <c r="C17" i="6" s="1"/>
  <c r="D17" i="6" s="1"/>
  <c r="F17" i="6" s="1"/>
  <c r="Y154" i="5"/>
  <c r="Z153" i="5"/>
  <c r="K153" i="5" s="1"/>
  <c r="Y155" i="5" l="1"/>
  <c r="Z154" i="5"/>
  <c r="K154" i="5" s="1"/>
  <c r="Y178" i="5"/>
  <c r="Z177" i="5"/>
  <c r="K177" i="5" s="1"/>
  <c r="B18" i="6" s="1"/>
  <c r="C18" i="6" s="1"/>
  <c r="D18" i="6" s="1"/>
  <c r="F18" i="6" s="1"/>
  <c r="Y111" i="5"/>
  <c r="Z110" i="5"/>
  <c r="K110" i="5" s="1"/>
  <c r="Y25" i="5"/>
  <c r="Z24" i="5"/>
  <c r="K24" i="5" s="1"/>
  <c r="Y179" i="5" l="1"/>
  <c r="Z178" i="5"/>
  <c r="K178" i="5" s="1"/>
  <c r="B19" i="6" s="1"/>
  <c r="C19" i="6" s="1"/>
  <c r="D19" i="6" s="1"/>
  <c r="F19" i="6" s="1"/>
  <c r="Y26" i="5"/>
  <c r="Z25" i="5"/>
  <c r="K25" i="5" s="1"/>
  <c r="Y112" i="5"/>
  <c r="Z111" i="5"/>
  <c r="K111" i="5" s="1"/>
  <c r="Y156" i="5"/>
  <c r="Z155" i="5"/>
  <c r="K155" i="5" s="1"/>
  <c r="Y157" i="5" l="1"/>
  <c r="Z156" i="5"/>
  <c r="K156" i="5" s="1"/>
  <c r="Y113" i="5"/>
  <c r="Z112" i="5"/>
  <c r="K112" i="5" s="1"/>
  <c r="Y27" i="5"/>
  <c r="Z26" i="5"/>
  <c r="K26" i="5" s="1"/>
  <c r="Y180" i="5"/>
  <c r="Z179" i="5"/>
  <c r="K179" i="5" s="1"/>
  <c r="B20" i="6" s="1"/>
  <c r="C20" i="6" s="1"/>
  <c r="D20" i="6" s="1"/>
  <c r="F20" i="6" s="1"/>
  <c r="Y28" i="5" l="1"/>
  <c r="Z27" i="5"/>
  <c r="K27" i="5" s="1"/>
  <c r="Y114" i="5"/>
  <c r="Z113" i="5"/>
  <c r="K113" i="5" s="1"/>
  <c r="Y181" i="5"/>
  <c r="Z180" i="5"/>
  <c r="K180" i="5" s="1"/>
  <c r="B21" i="6" s="1"/>
  <c r="C21" i="6" s="1"/>
  <c r="D21" i="6" s="1"/>
  <c r="F21" i="6" s="1"/>
  <c r="Y158" i="5"/>
  <c r="Z157" i="5"/>
  <c r="K157" i="5" s="1"/>
  <c r="Y182" i="5" l="1"/>
  <c r="Z181" i="5"/>
  <c r="K181" i="5" s="1"/>
  <c r="B22" i="6" s="1"/>
  <c r="C22" i="6" s="1"/>
  <c r="D22" i="6" s="1"/>
  <c r="F22" i="6" s="1"/>
  <c r="Y115" i="5"/>
  <c r="Z114" i="5"/>
  <c r="K114" i="5" s="1"/>
  <c r="Y29" i="5"/>
  <c r="Z28" i="5"/>
  <c r="K28" i="5" s="1"/>
  <c r="Y159" i="5"/>
  <c r="Z158" i="5"/>
  <c r="K158" i="5" s="1"/>
  <c r="Y160" i="5" l="1"/>
  <c r="Z159" i="5"/>
  <c r="K159" i="5" s="1"/>
  <c r="Y30" i="5"/>
  <c r="Z29" i="5"/>
  <c r="K29" i="5" s="1"/>
  <c r="Y116" i="5"/>
  <c r="Z115" i="5"/>
  <c r="K115" i="5" s="1"/>
  <c r="Y183" i="5"/>
  <c r="Z182" i="5"/>
  <c r="K182" i="5" s="1"/>
  <c r="B23" i="6" s="1"/>
  <c r="C23" i="6" s="1"/>
  <c r="D23" i="6" s="1"/>
  <c r="F23" i="6" s="1"/>
  <c r="Y31" i="5" l="1"/>
  <c r="Z30" i="5"/>
  <c r="K30" i="5" s="1"/>
  <c r="Y184" i="5"/>
  <c r="Z183" i="5"/>
  <c r="K183" i="5" s="1"/>
  <c r="B24" i="6" s="1"/>
  <c r="C24" i="6" s="1"/>
  <c r="D24" i="6" s="1"/>
  <c r="F24" i="6" s="1"/>
  <c r="Y117" i="5"/>
  <c r="Z116" i="5"/>
  <c r="K116" i="5" s="1"/>
  <c r="Y161" i="5"/>
  <c r="Z161" i="5" s="1"/>
  <c r="K161" i="5" s="1"/>
  <c r="Z160" i="5"/>
  <c r="K160" i="5" s="1"/>
  <c r="Y118" i="5" l="1"/>
  <c r="Z117" i="5"/>
  <c r="K117" i="5" s="1"/>
  <c r="Y32" i="5"/>
  <c r="Z31" i="5"/>
  <c r="K31" i="5" s="1"/>
  <c r="Y185" i="5"/>
  <c r="Z184" i="5"/>
  <c r="K184" i="5" s="1"/>
  <c r="B25" i="6" s="1"/>
  <c r="C25" i="6" s="1"/>
  <c r="D25" i="6" s="1"/>
  <c r="F25" i="6" s="1"/>
  <c r="Y186" i="5" l="1"/>
  <c r="Z185" i="5"/>
  <c r="K185" i="5" s="1"/>
  <c r="B26" i="6" s="1"/>
  <c r="C26" i="6" s="1"/>
  <c r="D26" i="6" s="1"/>
  <c r="F26" i="6" s="1"/>
  <c r="Y33" i="5"/>
  <c r="Z32" i="5"/>
  <c r="K32" i="5" s="1"/>
  <c r="Y119" i="5"/>
  <c r="Z118" i="5"/>
  <c r="K118" i="5" s="1"/>
  <c r="Y120" i="5" l="1"/>
  <c r="Z119" i="5"/>
  <c r="K119" i="5" s="1"/>
  <c r="Y34" i="5"/>
  <c r="Z33" i="5"/>
  <c r="K33" i="5" s="1"/>
  <c r="Y187" i="5"/>
  <c r="Z186" i="5"/>
  <c r="K186" i="5" s="1"/>
  <c r="B27" i="6" s="1"/>
  <c r="C27" i="6" s="1"/>
  <c r="D27" i="6" s="1"/>
  <c r="F27" i="6" s="1"/>
  <c r="Y188" i="5" l="1"/>
  <c r="Z187" i="5"/>
  <c r="K187" i="5" s="1"/>
  <c r="B28" i="6" s="1"/>
  <c r="C28" i="6" s="1"/>
  <c r="D28" i="6" s="1"/>
  <c r="F28" i="6" s="1"/>
  <c r="Y35" i="5"/>
  <c r="Z34" i="5"/>
  <c r="K34" i="5" s="1"/>
  <c r="Y121" i="5"/>
  <c r="Z121" i="5" s="1"/>
  <c r="K121" i="5" s="1"/>
  <c r="Z120" i="5"/>
  <c r="K120" i="5" s="1"/>
  <c r="Y36" i="5" l="1"/>
  <c r="Z35" i="5"/>
  <c r="K35" i="5" s="1"/>
  <c r="Y189" i="5"/>
  <c r="Z188" i="5"/>
  <c r="K188" i="5" s="1"/>
  <c r="B29" i="6" s="1"/>
  <c r="C29" i="6" s="1"/>
  <c r="D29" i="6" s="1"/>
  <c r="F29" i="6" s="1"/>
  <c r="Y190" i="5" l="1"/>
  <c r="Z189" i="5"/>
  <c r="K189" i="5" s="1"/>
  <c r="B30" i="6" s="1"/>
  <c r="C30" i="6" s="1"/>
  <c r="D30" i="6" s="1"/>
  <c r="F30" i="6" s="1"/>
  <c r="Y37" i="5"/>
  <c r="Z36" i="5"/>
  <c r="K36" i="5" s="1"/>
  <c r="Y38" i="5" l="1"/>
  <c r="Z37" i="5"/>
  <c r="K37" i="5" s="1"/>
  <c r="Y191" i="5"/>
  <c r="Z190" i="5"/>
  <c r="K190" i="5" s="1"/>
  <c r="B31" i="6" s="1"/>
  <c r="C31" i="6" s="1"/>
  <c r="D31" i="6" s="1"/>
  <c r="F31" i="6" s="1"/>
  <c r="Y192" i="5" l="1"/>
  <c r="Z191" i="5"/>
  <c r="K191" i="5" s="1"/>
  <c r="B32" i="6" s="1"/>
  <c r="C32" i="6" s="1"/>
  <c r="D32" i="6" s="1"/>
  <c r="F32" i="6" s="1"/>
  <c r="Y39" i="5"/>
  <c r="Z38" i="5"/>
  <c r="K38" i="5" s="1"/>
  <c r="Y40" i="5" l="1"/>
  <c r="Z39" i="5"/>
  <c r="K39" i="5" s="1"/>
  <c r="Y193" i="5"/>
  <c r="Z192" i="5"/>
  <c r="K192" i="5" s="1"/>
  <c r="B33" i="6" s="1"/>
  <c r="C33" i="6" s="1"/>
  <c r="D33" i="6" s="1"/>
  <c r="F33" i="6" s="1"/>
  <c r="Y194" i="5" l="1"/>
  <c r="Z193" i="5"/>
  <c r="K193" i="5" s="1"/>
  <c r="B34" i="6" s="1"/>
  <c r="C34" i="6" s="1"/>
  <c r="D34" i="6" s="1"/>
  <c r="F34" i="6" s="1"/>
  <c r="Y41" i="5"/>
  <c r="Z41" i="5" s="1"/>
  <c r="K41" i="5" s="1"/>
  <c r="Z40" i="5"/>
  <c r="K40" i="5" s="1"/>
  <c r="Y195" i="5" l="1"/>
  <c r="Z194" i="5"/>
  <c r="K194" i="5" s="1"/>
  <c r="B35" i="6" s="1"/>
  <c r="C35" i="6" s="1"/>
  <c r="D35" i="6" s="1"/>
  <c r="F35" i="6" s="1"/>
  <c r="Y196" i="5" l="1"/>
  <c r="Z195" i="5"/>
  <c r="K195" i="5" s="1"/>
  <c r="B36" i="6" s="1"/>
  <c r="C36" i="6" s="1"/>
  <c r="D36" i="6" s="1"/>
  <c r="F36" i="6" s="1"/>
  <c r="Y197" i="5" l="1"/>
  <c r="Z196" i="5"/>
  <c r="K196" i="5" s="1"/>
  <c r="B37" i="6" s="1"/>
  <c r="C37" i="6" s="1"/>
  <c r="D37" i="6" s="1"/>
  <c r="F37" i="6" s="1"/>
  <c r="Y198" i="5" l="1"/>
  <c r="Z197" i="5"/>
  <c r="K197" i="5" s="1"/>
  <c r="B38" i="6" s="1"/>
  <c r="C38" i="6" s="1"/>
  <c r="D38" i="6" s="1"/>
  <c r="F38" i="6" s="1"/>
  <c r="Y199" i="5" l="1"/>
  <c r="Z198" i="5"/>
  <c r="K198" i="5" s="1"/>
  <c r="B39" i="6" s="1"/>
  <c r="C39" i="6" s="1"/>
  <c r="D39" i="6" s="1"/>
  <c r="F39" i="6" s="1"/>
  <c r="Y200" i="5" l="1"/>
  <c r="Z199" i="5"/>
  <c r="K199" i="5" s="1"/>
  <c r="B40" i="6" s="1"/>
  <c r="C40" i="6" s="1"/>
  <c r="D40" i="6" s="1"/>
  <c r="F40" i="6" s="1"/>
  <c r="Y201" i="5" l="1"/>
  <c r="Z201" i="5" s="1"/>
  <c r="K201" i="5" s="1"/>
  <c r="B42" i="6" s="1"/>
  <c r="Z200" i="5"/>
  <c r="K200" i="5" s="1"/>
  <c r="B41" i="6" s="1"/>
  <c r="C41" i="6" s="1"/>
  <c r="D41" i="6" s="1"/>
  <c r="F41" i="6" s="1"/>
  <c r="C42" i="6" l="1"/>
  <c r="D42" i="6" s="1"/>
  <c r="F42" i="6" s="1"/>
  <c r="F43" i="6" s="1"/>
</calcChain>
</file>

<file path=xl/sharedStrings.xml><?xml version="1.0" encoding="utf-8"?>
<sst xmlns="http://schemas.openxmlformats.org/spreadsheetml/2006/main" count="579" uniqueCount="143">
  <si>
    <t>Agroforestry Quantification – Workbook Overview</t>
  </si>
  <si>
    <t>Species</t>
  </si>
  <si>
    <t>Area (ha)</t>
  </si>
  <si>
    <t>Planting method</t>
  </si>
  <si>
    <t>Spacing in meters</t>
  </si>
  <si>
    <t>Suggested density (trees/ha)</t>
  </si>
  <si>
    <t>Total trees</t>
  </si>
  <si>
    <t>Actual density (trees/ha)</t>
  </si>
  <si>
    <t>Key conservative assumptions (agroforestry module)</t>
  </si>
  <si>
    <t>Cashew</t>
  </si>
  <si>
    <t xml:space="preserve">Alley </t>
  </si>
  <si>
    <t>10x10</t>
  </si>
  <si>
    <t>• Baseline tree biomass on farms assumed = 0 (no pre-existing agroforestry trees credited).</t>
  </si>
  <si>
    <t>Dawadawa</t>
  </si>
  <si>
    <t>• All trees assumed planted in Year 1 (single cohort) unless revised in the PDD activity data section.</t>
  </si>
  <si>
    <t>Mango</t>
  </si>
  <si>
    <t>• Species-specific survival curves applied; no late-period artificial survival declines.</t>
  </si>
  <si>
    <t>Moringa</t>
  </si>
  <si>
    <t>• BGB included via AR-TOOL14 root-to-shoot relationships; no additional soil carbon credited in this module.</t>
  </si>
  <si>
    <t>Shea</t>
  </si>
  <si>
    <t>• Retained dead biomass pool included; dead biomass decays at a conservative first-order rate (k_dead).</t>
  </si>
  <si>
    <t>• Carbon fraction fixed at 0.47 and CO2 conversion uses 44/12.</t>
  </si>
  <si>
    <t>Key Conservative Assumptions – Agroforestry Quantification</t>
  </si>
  <si>
    <t>• Baseline tree biomass on agricultural land assumed to be zero.</t>
  </si>
  <si>
    <t>• All agroforestry trees assumed planted in Year 1 (single cohort).</t>
  </si>
  <si>
    <t>• Species-specific survival curves applied; no artificial late-period survival declines.</t>
  </si>
  <si>
    <t>• Above-ground biomass, below-ground biomass, and retained dead biomass included; soil carbon, litter, and harvested wood products excluded.</t>
  </si>
  <si>
    <t>• Below-ground biomass estimated using AR-TOOL14 root-to-shoot relationships.</t>
  </si>
  <si>
    <t>• Dead biomass retained and decayed conservatively using first-order decay.</t>
  </si>
  <si>
    <t>• Carbon fraction fixed at 0.47; CO₂ conversion uses 44/12.</t>
  </si>
  <si>
    <t>• All growth parameters anchored to peer-reviewed or authoritative literature.</t>
  </si>
  <si>
    <t>Parameter</t>
  </si>
  <si>
    <t>Value</t>
  </si>
  <si>
    <t>Units</t>
  </si>
  <si>
    <t>CF_tree</t>
  </si>
  <si>
    <t>t C / t d.m.</t>
  </si>
  <si>
    <t>Carbon fraction of dry biomass (AR-TOOL14 default).</t>
  </si>
  <si>
    <t>CO2_per_C</t>
  </si>
  <si>
    <t>t CO2 / t C</t>
  </si>
  <si>
    <t>Convert carbon to CO2.</t>
  </si>
  <si>
    <t>RootShoot_Rj</t>
  </si>
  <si>
    <t>Rj = EXP(-1.085 + 0.9256*LN(b)) / b</t>
  </si>
  <si>
    <t>dimensionless</t>
  </si>
  <si>
    <t>Root:shoot ratio from AR-TOOL14 (b=AGB t d.m./ha).</t>
  </si>
  <si>
    <t>Crediting_horizon</t>
  </si>
  <si>
    <t>years</t>
  </si>
  <si>
    <t>Model horizon.</t>
  </si>
  <si>
    <t>Allometry</t>
  </si>
  <si>
    <t>Chave2014: AGB=0.0673*(rho*D^2*H)^0.976</t>
  </si>
  <si>
    <t>kg d.m./tree</t>
  </si>
  <si>
    <t>rho g/cm3, D cm, H m.</t>
  </si>
  <si>
    <t>Year (t)</t>
  </si>
  <si>
    <t>DBH (cm)</t>
  </si>
  <si>
    <t>Height (m)</t>
  </si>
  <si>
    <t>rho (g/cm3)</t>
  </si>
  <si>
    <t>AGB per tree (kg d.m./tree)</t>
  </si>
  <si>
    <t>Key</t>
  </si>
  <si>
    <t>Trees planted/ha</t>
  </si>
  <si>
    <t>Survival S(t)</t>
  </si>
  <si>
    <t>Trees alive/ha</t>
  </si>
  <si>
    <t>AGB/tree (kg)</t>
  </si>
  <si>
    <t>AGB/ha (t d.m./ha)</t>
  </si>
  <si>
    <t>Rj</t>
  </si>
  <si>
    <t>BGB/ha (t d.m./ha)</t>
  </si>
  <si>
    <t>Total biomass/ha (t d.m./ha)</t>
  </si>
  <si>
    <t>CO2e stock/ha (t CO2e/ha)</t>
  </si>
  <si>
    <t>Trees/ha</t>
  </si>
  <si>
    <t>S1</t>
  </si>
  <si>
    <t>Sa</t>
  </si>
  <si>
    <t>Species_param</t>
  </si>
  <si>
    <t>S1 (Yr1)</t>
  </si>
  <si>
    <t>Sa_est (Yr2-3)</t>
  </si>
  <si>
    <t>Sa_mid (Yr4-20)</t>
  </si>
  <si>
    <t>Sa_late (Yr21+)</t>
  </si>
  <si>
    <t>Dead biomass pool/ha (t d.m./ha)</t>
  </si>
  <si>
    <t>Total biomass incl. dead/ha (t d.m./ha)</t>
  </si>
  <si>
    <t>k_dead (yr-1)</t>
  </si>
  <si>
    <t>Eq49-ready: annual total tree CO2e stock and annual change</t>
  </si>
  <si>
    <t>Total agroforestry area (ha)</t>
  </si>
  <si>
    <t>Total tree CO2e stock (t CO2e)</t>
  </si>
  <si>
    <t>ΔCTREE,wp,t (t CO2e/yr)</t>
  </si>
  <si>
    <t>ΔCTREE,wp,t per ha (t CO2e/ha/yr)</t>
  </si>
  <si>
    <t>Area_ha</t>
  </si>
  <si>
    <t>Biaou et al. (2018)</t>
  </si>
  <si>
    <t>Allometric models for estimating biomass stocks of Anacardium occidentale plantations in Benin (used here for ~15-year DBH/height anchor).</t>
  </si>
  <si>
    <t>https://www.researchgate.net/publication/ (see paper PDF if needed)</t>
  </si>
  <si>
    <t>Oguntunde et al. (2011)</t>
  </si>
  <si>
    <t>Influence of tree age and variety on allometric characteristics and water use of Mangifera indica L. growing in plantation (Ghana): height &amp; stem diameter at age 2 and 33 used to anchor logistic growth.</t>
  </si>
  <si>
    <t>https://www.researchgate.net/publication/262911429_Influence_of_tree_age_and_variety_on_allometric_characteristics_and_water_use_of_Mangifera_indica_L_growing_in_plantation_Journal_of_Botany_Hindawi_Publishing_Corporation_Volume_2011_Article_ID_824201</t>
  </si>
  <si>
    <t>PROTA4U (Parkia biglobosa)</t>
  </si>
  <si>
    <t>Growth note: seedlings may reach 1 m in 1 year; young trees can reach 7 m in 6-year-old plantations (used to anchor height curve).</t>
  </si>
  <si>
    <t>https://prota.prota4u.org/protav8.asp?g=pe&amp;p=Parkia+biglobosa</t>
  </si>
  <si>
    <t>Orwa et al. (2009) Agroforestry Database</t>
  </si>
  <si>
    <t>Moringa oleifera species profile: grows to ~8 m height and 60 cm DBH (used as max size bounds).</t>
  </si>
  <si>
    <t>https://apps.worldagroforestry.org/treedb/AFTPDFS/Moringa_oleifera.PDF</t>
  </si>
  <si>
    <t>Chave et al. (2014) pantropical allometry</t>
  </si>
  <si>
    <t>Allometry (working)</t>
  </si>
  <si>
    <t>AGB = 0.0673*(rho*D^2*H)^0.976</t>
  </si>
  <si>
    <t>AR-TOOL14 v4.1</t>
  </si>
  <si>
    <t>BGB via root:shoot</t>
  </si>
  <si>
    <t>Rj(b)=EXP(-1.085+0.9256*LN(b))/b</t>
  </si>
  <si>
    <t>World Agroforestry Tree Database – Anacardium occidentale</t>
  </si>
  <si>
    <t>Wood density (candidate)</t>
  </si>
  <si>
    <t>rho for cashew</t>
  </si>
  <si>
    <t>World Agroforestry Tree Database – Mangifera indica</t>
  </si>
  <si>
    <t>rho for mango</t>
  </si>
  <si>
    <t>CABI Compendium – Parkia biglobosa</t>
  </si>
  <si>
    <t>rho for Parkia</t>
  </si>
  <si>
    <t>Dimobe et al. (2018) Vitellaria allometry</t>
  </si>
  <si>
    <t>Species allometry (candidate)</t>
  </si>
  <si>
    <t>AGB = 0.084*DBH^2.43 (as per Perplexity)</t>
  </si>
  <si>
    <t>Aabeyir et al. (2020) Ghana allometry</t>
  </si>
  <si>
    <t>Cashew allometry (candidate)</t>
  </si>
  <si>
    <t>AGB = 0.076*(DBH^2*H)^0.927 (as per Perplexity)</t>
  </si>
  <si>
    <t>Sina &amp; Traoré / PROTA Parkia profile</t>
  </si>
  <si>
    <t>Parkia growth (candidate)</t>
  </si>
  <si>
    <t>Height ~7m by 6 years etc.</t>
  </si>
  <si>
    <t>Moringa carbon sequestration study (Tibiri-Gobir)</t>
  </si>
  <si>
    <t>Moringa growth/biomass (candidate)</t>
  </si>
  <si>
    <t>Biomass stock ~3.4 tDM/ha at yr 3–5</t>
  </si>
  <si>
    <t>Equation (LaTeX)</t>
  </si>
  <si>
    <t>Notes / Source (to be finalized with PDFs)</t>
  </si>
  <si>
    <t>AGB_{\mathrm{tree}} = 0.076\cdot(DBH^{2}\cdot H)^{0.927}</t>
  </si>
  <si>
    <t>Perplexity summary cited Ghana allometry (Aabeyir et al., 2020) – verify in primary source.</t>
  </si>
  <si>
    <t>AGB_{\mathrm{tree}} = 0.084\cdot DBH^{2.43}</t>
  </si>
  <si>
    <t>Perplexity summary cited Dimobe et al. (2018) – verify in primary source.</t>
  </si>
  <si>
    <t>AGB_{\mathrm{tree}} = \exp(-2.43 + 2.51\ln(DBH))</t>
  </si>
  <si>
    <t>Perplexity summary cited mango allometry (Ganeshamurthy et al.) – verify in primary source.</t>
  </si>
  <si>
    <t>Moringa + Parkia (Dawadawa) + others</t>
  </si>
  <si>
    <t>AGB_{\mathrm{tree}} = 0.0673\cdot(\rho\cdot DBH^{2}\cdot H)^{0.976}</t>
  </si>
  <si>
    <t>Pantropical placeholder (Chave et al., 2014) retained for species lacking a confirmed local equation.</t>
  </si>
  <si>
    <t>World Agroforestry (ICRAF) Tree Species Profile – Vitellaria paradoxa</t>
  </si>
  <si>
    <t>Mature DBH anchor (Shea)</t>
  </si>
  <si>
    <t>Mature bole diameter most frequently ~0.6 m (60 cm) used to anchor DBH(t) at year 40</t>
  </si>
  <si>
    <t>This workbook implements the ex-ante quantification of greenhouse gas removals from the agroforestry component of a Verra VM0042 Improved Agricultural Land Management project, using a modeled QA1 approach consistent with CDM AR-TOOL14.
Workbook structure:
• Tab 2 – Activity Data: Agroforestry area, species composition, spacing, and tree density inputs.
• Tab 3 – Growth Inputs: Species-specific DBH and height growth trajectories and allometric equations.
• Tab 4 – Biomass per ha: Conversion of per-tree biomass to per-hectare biomass, including live and dead pools.
• Tab 5 – ER Results: Annual biomass CO₂e stocks and emission reductions aggregated across species and area.
• Tab 6 – Literature &amp; Citations: Sources for growth assumptions, allometric equations, and parameters.
Methodological cross-references:
• Verra VM0042 v2.2: QA1 modeled approach; agroforestry as eligible activity (Appendix 1); carbon stock-change accounting for biomass pools.
• CDM AR-TOOL14 v4.1: Ex-ante estimation using growth models (Section 5) and biomass estimation using allometric equations and root-to-shoot ratios for BGB (Section 6).</t>
  </si>
  <si>
    <t>Column1</t>
  </si>
  <si>
    <t>Notes</t>
  </si>
  <si>
    <t xml:space="preserve">Total ERRs (t CO2e) </t>
  </si>
  <si>
    <t>Total</t>
  </si>
  <si>
    <t>Avg/year</t>
  </si>
  <si>
    <t>Equations implemented in Tab 3</t>
  </si>
  <si>
    <t>Column2</t>
  </si>
  <si>
    <t>Literature &amp;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</si>
</sst>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 (Body)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 style="thin">
        <color rgb="FFD0D0D0"/>
      </top>
      <bottom/>
      <diagonal/>
    </border>
  </borders>
  <cellStyleXfs count="2">
    <xf numFmtId="0" fontId="0" fillId="0" borderId="0"/>
    <xf numFmtId="43" fontId="4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0" xfId="0" applyAlignment="1">
      <alignment vertical="top" wrapText="1"/>
    </xf>
    <xf numFmtId="43" fontId="5" fillId="0" borderId="0" xfId="1" applyFont="1"/>
    <xf numFmtId="0" fontId="7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center" wrapText="1"/>
    </xf>
    <xf numFmtId="0" fontId="0" fillId="3" borderId="0" xfId="0" applyFill="1"/>
    <xf numFmtId="0" fontId="6" fillId="3" borderId="0" xfId="0" applyFont="1" applyFill="1" applyAlignment="1">
      <alignment vertical="center"/>
    </xf>
    <xf numFmtId="0" fontId="5" fillId="0" borderId="1" xfId="0" applyFont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2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164" fontId="0" fillId="0" borderId="9" xfId="0" applyNumberFormat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3" fillId="3" borderId="0" xfId="0" applyFont="1" applyFill="1"/>
    <xf numFmtId="0" fontId="8" fillId="3" borderId="0" xfId="0" applyFont="1" applyFill="1"/>
    <xf numFmtId="43" fontId="0" fillId="0" borderId="0" xfId="0" applyNumberFormat="1"/>
    <xf numFmtId="0" fontId="9" fillId="0" borderId="0" xfId="0" applyFont="1"/>
    <xf numFmtId="0" fontId="1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10" fillId="0" borderId="0" xfId="0" applyFont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3" borderId="0" xfId="0" applyFont="1" applyFill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0" borderId="0" xfId="0" applyFont="1" applyAlignment="1">
      <alignment vertical="top" wrapText="1"/>
    </xf>
  </cellXfs>
  <cellStyles count="2">
    <cellStyle name="Comma" xfId="1" builtinId="3"/>
    <cellStyle name="Normal" xfId="0" builtinId="0"/>
  </cellStyles>
  <dxfs count="51">
    <dxf>
      <font>
        <b val="0"/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6"/>
        </patternFill>
      </fill>
      <alignment horizontal="general" vertical="center" textRotation="0" wrapText="1" indent="0" justifyLastLine="0" shrinkToFit="0" readingOrder="0"/>
    </dxf>
    <dxf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6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D0D0D0"/>
        </left>
        <right style="thin">
          <color rgb="FFD0D0D0"/>
        </right>
        <top/>
        <bottom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/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border outline="0">
        <top style="thin">
          <color rgb="FFD0D0D0"/>
        </top>
      </border>
    </dxf>
    <dxf>
      <border outline="0">
        <bottom style="thin">
          <color rgb="FFD0D0D0"/>
        </bottom>
      </border>
    </dxf>
    <dxf>
      <border outline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6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D0D0D0"/>
        </left>
        <right style="thin">
          <color rgb="FFD0D0D0"/>
        </right>
        <top/>
        <bottom/>
      </border>
    </dxf>
    <dxf>
      <border outline="0">
        <bottom style="thin">
          <color rgb="FFD0D0D0"/>
        </bottom>
      </border>
    </dxf>
    <dxf>
      <border outline="0">
        <top style="thin">
          <color rgb="FFD0D0D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6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D0D0D0"/>
        </left>
        <right style="thin">
          <color rgb="FFD0D0D0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/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border outline="0">
        <top style="thin">
          <color rgb="FFD0D0D0"/>
        </top>
      </border>
    </dxf>
    <dxf>
      <border outline="0">
        <bottom style="thin">
          <color rgb="FFD0D0D0"/>
        </bottom>
      </border>
    </dxf>
    <dxf>
      <border outline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6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D0D0D0"/>
        </left>
        <right style="thin">
          <color rgb="FFD0D0D0"/>
        </right>
        <top/>
        <bottom/>
      </border>
    </dxf>
    <dxf>
      <alignment horizontal="general" vertical="top" textRotation="0" wrapText="1" indent="0" justifyLastLine="0" shrinkToFit="0" readingOrder="0"/>
    </dxf>
    <dxf>
      <numFmt numFmtId="164" formatCode="0.000"/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/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border outline="0">
        <top style="thin">
          <color rgb="FFD0D0D0"/>
        </top>
      </border>
    </dxf>
    <dxf>
      <border outline="0">
        <bottom style="thin">
          <color rgb="FFD0D0D0"/>
        </bottom>
      </border>
    </dxf>
    <dxf>
      <border outline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b/>
      </font>
    </dxf>
    <dxf>
      <fill>
        <patternFill patternType="solid">
          <fgColor indexed="64"/>
          <bgColor theme="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6"/>
        </patternFill>
      </fill>
      <alignment horizontal="general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ill>
        <patternFill>
          <fgColor indexed="64"/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tingPlan" displayName="PlantingPlan" ref="A1:H6" headerRowDxfId="50">
  <autoFilter ref="A1:H6" xr:uid="{00000000-0009-0000-0100-000001000000}"/>
  <tableColumns count="8">
    <tableColumn id="1" xr3:uid="{00000000-0010-0000-0000-000001000000}" name="Species"/>
    <tableColumn id="2" xr3:uid="{00000000-0010-0000-0000-000002000000}" name="Area (ha)"/>
    <tableColumn id="3" xr3:uid="{00000000-0010-0000-0000-000003000000}" name="Planting method"/>
    <tableColumn id="4" xr3:uid="{00000000-0010-0000-0000-000004000000}" name="Spacing in meters"/>
    <tableColumn id="5" xr3:uid="{00000000-0010-0000-0000-000005000000}" name="Suggested density (trees/ha)"/>
    <tableColumn id="6" xr3:uid="{00000000-0010-0000-0000-000006000000}" name="Total trees"/>
    <tableColumn id="7" xr3:uid="{00000000-0010-0000-0000-000007000000}" name="Actual density (trees/ha)"/>
    <tableColumn id="8" xr3:uid="{00000000-0010-0000-0000-000008000000}" name="Effective utilization (%)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03D125-421D-3644-90A5-7292167BC4FF}" name="Table4" displayName="Table4" ref="A10:A18" totalsRowShown="0" headerRowDxfId="47" dataDxfId="48">
  <autoFilter ref="A10:A18" xr:uid="{F803D125-421D-3644-90A5-7292167BC4FF}"/>
  <tableColumns count="1">
    <tableColumn id="1" xr3:uid="{4D8CB1E7-E275-CF4A-86FD-6BEFE5E97A8D}" name="Key Conservative Assumptions – Agroforestry Quantification" dataDxfId="49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ssumptions" displayName="Assumptions" ref="A1:D6" headerRowDxfId="46">
  <autoFilter ref="A1:D6" xr:uid="{00000000-0009-0000-0100-000002000000}"/>
  <tableColumns count="4">
    <tableColumn id="1" xr3:uid="{00000000-0010-0000-0100-000001000000}" name="Parameter" dataDxfId="45"/>
    <tableColumn id="2" xr3:uid="{00000000-0010-0000-0100-000002000000}" name="Value"/>
    <tableColumn id="3" xr3:uid="{00000000-0010-0000-0100-000003000000}" name="Units"/>
    <tableColumn id="4" xr3:uid="{00000000-0010-0000-0100-000004000000}" name="Notes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E8F55C-3252-A049-B08D-C47633EC0577}" name="Table5" displayName="Table5" ref="A1:F201" totalsRowShown="0" headerRowDxfId="34" dataDxfId="35" headerRowBorderDxfId="43" tableBorderDxfId="44" totalsRowBorderDxfId="42">
  <autoFilter ref="A1:F201" xr:uid="{AFE8F55C-3252-A049-B08D-C47633EC0577}"/>
  <tableColumns count="6">
    <tableColumn id="1" xr3:uid="{12E31569-741C-6641-B233-EE50AD48ABBD}" name="Species" dataDxfId="41"/>
    <tableColumn id="2" xr3:uid="{65A51B12-953E-C548-9BF2-96ADA283E2C3}" name="Year (t)" dataDxfId="40"/>
    <tableColumn id="3" xr3:uid="{6DAA3C61-2FA6-7C48-8EAB-6FD45B537755}" name="DBH (cm)" dataDxfId="39"/>
    <tableColumn id="4" xr3:uid="{2A4A97B2-5797-F048-9B85-A5EC48B1C988}" name="Height (m)" dataDxfId="38"/>
    <tableColumn id="5" xr3:uid="{4E2F0E21-A950-A740-ACAC-01526105C8AB}" name="rho (g/cm3)" dataDxfId="37"/>
    <tableColumn id="6" xr3:uid="{B27113D7-4BD5-9049-ABD6-8803F7CF9CFD}" name="AGB per tree (kg d.m./tree)" dataDxfId="36">
      <calculatedColumnFormula>IF(C2="",NA(),0.084*POWER(C2,2.43))</calculatedColumnFormula>
    </tableColumn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926466-5A71-4048-9A89-6AB3B095D8B2}" name="Table6" displayName="Table6" ref="A1:K201" totalsRowShown="0" headerRowDxfId="18" dataDxfId="19" headerRowBorderDxfId="32" tableBorderDxfId="33" totalsRowBorderDxfId="31">
  <autoFilter ref="A1:K201" xr:uid="{B3926466-5A71-4048-9A89-6AB3B095D8B2}"/>
  <tableColumns count="11">
    <tableColumn id="1" xr3:uid="{978C01C1-9586-2241-AA0C-59EC1A692A8B}" name="Species" dataDxfId="30"/>
    <tableColumn id="2" xr3:uid="{357D5C93-5960-954D-92F8-0852CFBD8E1D}" name="Year (t)" dataDxfId="29"/>
    <tableColumn id="3" xr3:uid="{369FF1E1-6ADF-2847-895C-7AFAF207BA49}" name="Trees planted/ha" dataDxfId="28">
      <calculatedColumnFormula>INDEX($N$2:$N$6, MATCH(A2, $M$2:$M$6, 0))</calculatedColumnFormula>
    </tableColumn>
    <tableColumn id="4" xr3:uid="{8ABA2152-9A27-8349-9287-AE684E2CE4A2}" name="Survival S(t)" dataDxfId="27">
      <calculatedColumnFormula>IF(B2=1,INDEX($T$2:$T$6, MATCH(A2, $S$2:$S$6, 0)),INDEX($T$2:$T$6, MATCH(A2, $S$2:$S$6, 0))*POWER(INDEX($U$2:$U$6, MATCH(A2, $S$2:$S$6, 0)),MIN(B2-1,2))*POWER(INDEX($V$2:$V$6, MATCH(A2, $S$2:$S$6, 0)),MAX(MIN(B2-3,17),0))*POWER(INDEX($W$2:$W$6, MATCH(A2, $S$2:$S$6, 0)),MAX(B2-20,0)))</calculatedColumnFormula>
    </tableColumn>
    <tableColumn id="5" xr3:uid="{3B106C95-FD13-7D49-B84D-C01B925FC86A}" name="Trees alive/ha" dataDxfId="26">
      <calculatedColumnFormula>C2*D2</calculatedColumnFormula>
    </tableColumn>
    <tableColumn id="6" xr3:uid="{3B227718-7724-D74B-93DB-A081C2003D16}" name="AGB/tree (kg)" dataDxfId="25">
      <calculatedColumnFormula>IFERROR(INDEX('3_GrowthInputs'!$F$2:$F$201, MATCH(Q2, '3_GrowthInputs'!$G$2:$G$201, 0)), NA())</calculatedColumnFormula>
    </tableColumn>
    <tableColumn id="7" xr3:uid="{FB2F7FCD-DBFF-6846-90A1-43FD3B807C7D}" name="AGB/ha (t d.m./ha)" dataDxfId="24">
      <calculatedColumnFormula>IF(OR(ISNA(E2),ISNA(F2)),NA(),E2*F2/1000)</calculatedColumnFormula>
    </tableColumn>
    <tableColumn id="8" xr3:uid="{B3A4AC92-69F3-894B-AE79-103EC9684EFE}" name="Rj" dataDxfId="23">
      <calculatedColumnFormula>IF(ISNA(G2),NA(),IF(G2&gt;0,EXP(-1.085+0.9256*LN(G2))/G2,0))</calculatedColumnFormula>
    </tableColumn>
    <tableColumn id="9" xr3:uid="{6FC17D13-3592-D046-93DD-C6D28FC18DCA}" name="BGB/ha (t d.m./ha)" dataDxfId="22">
      <calculatedColumnFormula>IF(OR(ISNA(G2),ISNA(H2)),NA(),G2*H2)</calculatedColumnFormula>
    </tableColumn>
    <tableColumn id="10" xr3:uid="{1327D502-B6B4-2049-9425-AECDEE1E2D5F}" name="Total biomass/ha (t d.m./ha)" dataDxfId="21">
      <calculatedColumnFormula>IF(OR(ISNA(G2),ISNA(I2)),NA(),G2+I2)</calculatedColumnFormula>
    </tableColumn>
    <tableColumn id="11" xr3:uid="{E5FDFD55-DEAE-034B-A19C-8123FDD8DCED}" name="CO2e stock/ha (t CO2e/ha)" dataDxfId="20">
      <calculatedColumnFormula>Z2*0.47*(44/12)</calculatedColumnFormula>
    </tableColumn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CAD485-7DB0-EC4B-8D1A-0115421CA8B4}" name="Table7" displayName="Table7" ref="Y1:Z201" totalsRowShown="0" headerRowDxfId="15" headerRowBorderDxfId="16" tableBorderDxfId="17">
  <autoFilter ref="Y1:Z201" xr:uid="{34CAD485-7DB0-EC4B-8D1A-0115421CA8B4}"/>
  <tableColumns count="2">
    <tableColumn id="1" xr3:uid="{F6C83036-69E2-DA49-883A-8B513D1E6FB7}" name="Dead biomass pool/ha (t d.m./ha)"/>
    <tableColumn id="2" xr3:uid="{5854F796-FD14-744B-8EAE-2D56B6A0CAB7}" name="Total biomass incl. dead/ha (t d.m./ha)">
      <calculatedColumnFormula>J2+Y2</calculatedColumnFormula>
    </tableColumn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2CB8BE-D951-7244-921B-317674483AD7}" name="Table8" displayName="Table8" ref="A2:D42" totalsRowShown="0" headerRowDxfId="7" headerRowBorderDxfId="13" tableBorderDxfId="14" totalsRowBorderDxfId="12">
  <autoFilter ref="A2:D42" xr:uid="{C32CB8BE-D951-7244-921B-317674483AD7}"/>
  <tableColumns count="4">
    <tableColumn id="1" xr3:uid="{DF1B9592-2039-DC46-9889-F114A1AE50F0}" name="Year (t)" dataDxfId="11"/>
    <tableColumn id="2" xr3:uid="{DFCACBFF-AE47-5045-8D4D-9C687C319B2A}" name="Total tree CO2e stock (t CO2e)" dataDxfId="10"/>
    <tableColumn id="3" xr3:uid="{33C113F7-79F3-E84C-9727-5DF674D08517}" name="ΔCTREE,wp,t (t CO2e/yr)" dataDxfId="9">
      <calculatedColumnFormula>B3-B2</calculatedColumnFormula>
    </tableColumn>
    <tableColumn id="4" xr3:uid="{D5B13537-B441-594F-A3C7-03B747E9B94E}" name="ΔCTREE,wp,t per ha (t CO2e/ha/yr)" dataDxfId="8"/>
  </tableColumns>
  <tableStyleInfo name="TableStyleMedium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5AABBB8-CDCA-1A4E-A74C-51FC00749A44}" name="Table9" displayName="Table9" ref="F2:F44" totalsRowCount="1" headerRowDxfId="6">
  <autoFilter ref="F2:F43" xr:uid="{05AABBB8-CDCA-1A4E-A74C-51FC00749A44}"/>
  <tableColumns count="1">
    <tableColumn id="1" xr3:uid="{A2C627D7-D8EC-A240-9713-D911183892D0}" name="Total ERRs (t CO2e) " totalsRowFunction="custom" totalsRowDxfId="5">
      <totalsRowFormula>F43/A42</totalsRowFormula>
    </tableColumn>
  </tableColumns>
  <tableStyleInfo name="TableStyleMedium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8EFB547-2434-9C47-B7D8-C2C6AF0F32FA}" name="Table11" displayName="Table11" ref="A1:C22" totalsRowShown="0" headerRowDxfId="4" dataDxfId="0">
  <autoFilter ref="A1:C22" xr:uid="{58EFB547-2434-9C47-B7D8-C2C6AF0F32FA}"/>
  <tableColumns count="3">
    <tableColumn id="1" xr3:uid="{507D952A-45EC-F748-B597-2E3FACE97E1D}" name="Literature &amp; Assumptions" dataDxfId="3"/>
    <tableColumn id="2" xr3:uid="{CDA7417A-B304-C34A-9C91-46DD84D0F0C5}" name="Column1" dataDxfId="2"/>
    <tableColumn id="3" xr3:uid="{A901B29C-EF56-DD43-BEF6-6120BE075BBD}" name="Column2" dataDxfId="1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showGridLines="0" tabSelected="1" workbookViewId="0">
      <selection activeCell="F5" sqref="F5"/>
    </sheetView>
  </sheetViews>
  <sheetFormatPr baseColWidth="10" defaultColWidth="8.83203125" defaultRowHeight="15" x14ac:dyDescent="0.2"/>
  <cols>
    <col min="1" max="1" width="120" customWidth="1"/>
  </cols>
  <sheetData>
    <row r="1" spans="1:1" ht="19" customHeight="1" x14ac:dyDescent="0.2">
      <c r="A1" s="8" t="s">
        <v>0</v>
      </c>
    </row>
    <row r="2" spans="1:1" ht="224" x14ac:dyDescent="0.2">
      <c r="A2" s="14" t="s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showGridLines="0" workbookViewId="0">
      <pane ySplit="1" topLeftCell="A2" activePane="bottomLeft" state="frozen"/>
      <selection pane="bottomLeft" activeCell="B19" sqref="B19"/>
    </sheetView>
  </sheetViews>
  <sheetFormatPr baseColWidth="10" defaultColWidth="8.83203125" defaultRowHeight="15" x14ac:dyDescent="0.2"/>
  <cols>
    <col min="1" max="1" width="110" customWidth="1"/>
    <col min="2" max="2" width="12" customWidth="1"/>
    <col min="3" max="3" width="18" customWidth="1"/>
    <col min="4" max="4" width="12" customWidth="1"/>
    <col min="5" max="5" width="26" customWidth="1"/>
    <col min="6" max="6" width="14" customWidth="1"/>
    <col min="7" max="7" width="22" customWidth="1"/>
    <col min="8" max="8" width="48" customWidth="1"/>
  </cols>
  <sheetData>
    <row r="1" spans="1:8" s="11" customFormat="1" ht="18" customHeight="1" x14ac:dyDescent="0.2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10" t="s">
        <v>8</v>
      </c>
    </row>
    <row r="2" spans="1:8" ht="18" customHeight="1" x14ac:dyDescent="0.2">
      <c r="A2" s="2" t="s">
        <v>9</v>
      </c>
      <c r="B2" s="2">
        <v>4444.4444444444443</v>
      </c>
      <c r="C2" s="2" t="s">
        <v>10</v>
      </c>
      <c r="D2" s="2" t="s">
        <v>11</v>
      </c>
      <c r="E2" s="2">
        <v>100</v>
      </c>
      <c r="F2" s="2">
        <v>311111.11111111112</v>
      </c>
      <c r="G2" s="2">
        <v>70</v>
      </c>
      <c r="H2" s="2" t="s">
        <v>12</v>
      </c>
    </row>
    <row r="3" spans="1:8" ht="18" customHeight="1" x14ac:dyDescent="0.2">
      <c r="A3" s="2" t="s">
        <v>13</v>
      </c>
      <c r="B3" s="2">
        <v>222.2222222222222</v>
      </c>
      <c r="C3" s="2" t="s">
        <v>10</v>
      </c>
      <c r="D3" s="2" t="s">
        <v>11</v>
      </c>
      <c r="E3" s="2">
        <v>100</v>
      </c>
      <c r="F3" s="2">
        <v>15555.555555555549</v>
      </c>
      <c r="G3" s="2">
        <v>70</v>
      </c>
      <c r="H3" s="2" t="s">
        <v>14</v>
      </c>
    </row>
    <row r="4" spans="1:8" ht="18" customHeight="1" x14ac:dyDescent="0.2">
      <c r="A4" s="2" t="s">
        <v>15</v>
      </c>
      <c r="B4" s="2">
        <v>1111.1111111111111</v>
      </c>
      <c r="C4" s="2" t="s">
        <v>10</v>
      </c>
      <c r="D4" s="2" t="s">
        <v>11</v>
      </c>
      <c r="E4" s="2">
        <v>100</v>
      </c>
      <c r="F4" s="2">
        <v>87777.777777777781</v>
      </c>
      <c r="G4" s="2">
        <v>79</v>
      </c>
      <c r="H4" s="2" t="s">
        <v>16</v>
      </c>
    </row>
    <row r="5" spans="1:8" ht="18" customHeight="1" x14ac:dyDescent="0.2">
      <c r="A5" s="2" t="s">
        <v>17</v>
      </c>
      <c r="B5" s="2">
        <v>1111.1111111111111</v>
      </c>
      <c r="C5" s="2" t="s">
        <v>10</v>
      </c>
      <c r="D5" s="2" t="s">
        <v>11</v>
      </c>
      <c r="E5" s="2">
        <v>100</v>
      </c>
      <c r="F5" s="2">
        <v>87777.777777777781</v>
      </c>
      <c r="G5" s="2">
        <v>79</v>
      </c>
      <c r="H5" s="2" t="s">
        <v>18</v>
      </c>
    </row>
    <row r="6" spans="1:8" ht="18" customHeight="1" x14ac:dyDescent="0.2">
      <c r="A6" s="2" t="s">
        <v>19</v>
      </c>
      <c r="B6" s="2">
        <v>1111.1111111111111</v>
      </c>
      <c r="C6" s="2" t="s">
        <v>10</v>
      </c>
      <c r="D6" s="2" t="s">
        <v>11</v>
      </c>
      <c r="E6" s="2">
        <v>100</v>
      </c>
      <c r="F6" s="2">
        <v>87777.777777777781</v>
      </c>
      <c r="G6" s="2">
        <v>79</v>
      </c>
      <c r="H6" s="2" t="s">
        <v>20</v>
      </c>
    </row>
    <row r="7" spans="1:8" ht="18" customHeight="1" x14ac:dyDescent="0.2">
      <c r="H7" s="6" t="s">
        <v>21</v>
      </c>
    </row>
    <row r="10" spans="1:8" x14ac:dyDescent="0.2">
      <c r="A10" s="12" t="s">
        <v>22</v>
      </c>
    </row>
    <row r="11" spans="1:8" ht="16" x14ac:dyDescent="0.2">
      <c r="A11" s="6" t="s">
        <v>23</v>
      </c>
    </row>
    <row r="12" spans="1:8" ht="16" x14ac:dyDescent="0.2">
      <c r="A12" s="6" t="s">
        <v>24</v>
      </c>
    </row>
    <row r="13" spans="1:8" ht="16" x14ac:dyDescent="0.2">
      <c r="A13" s="6" t="s">
        <v>25</v>
      </c>
    </row>
    <row r="14" spans="1:8" ht="32" x14ac:dyDescent="0.2">
      <c r="A14" s="6" t="s">
        <v>26</v>
      </c>
    </row>
    <row r="15" spans="1:8" ht="16" x14ac:dyDescent="0.2">
      <c r="A15" s="6" t="s">
        <v>27</v>
      </c>
    </row>
    <row r="16" spans="1:8" ht="16" x14ac:dyDescent="0.2">
      <c r="A16" s="6" t="s">
        <v>28</v>
      </c>
    </row>
    <row r="17" spans="1:1" ht="16" x14ac:dyDescent="0.2">
      <c r="A17" s="6" t="s">
        <v>29</v>
      </c>
    </row>
    <row r="18" spans="1:1" ht="16" x14ac:dyDescent="0.2">
      <c r="A18" s="6" t="s">
        <v>30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showGridLines="0" zoomScale="136" workbookViewId="0">
      <pane ySplit="1" topLeftCell="A2" activePane="bottomLeft" state="frozen"/>
      <selection pane="bottomLeft" activeCell="B16" sqref="B16"/>
    </sheetView>
  </sheetViews>
  <sheetFormatPr baseColWidth="10" defaultColWidth="8.83203125" defaultRowHeight="15" x14ac:dyDescent="0.2"/>
  <cols>
    <col min="1" max="1" width="22" customWidth="1"/>
    <col min="2" max="2" width="55" customWidth="1"/>
    <col min="3" max="3" width="18" customWidth="1"/>
    <col min="4" max="4" width="70" customWidth="1"/>
  </cols>
  <sheetData>
    <row r="1" spans="1:4" ht="16" customHeight="1" x14ac:dyDescent="0.2">
      <c r="A1" s="9" t="s">
        <v>31</v>
      </c>
      <c r="B1" s="9" t="s">
        <v>32</v>
      </c>
      <c r="C1" s="9" t="s">
        <v>33</v>
      </c>
      <c r="D1" s="9" t="s">
        <v>136</v>
      </c>
    </row>
    <row r="2" spans="1:4" ht="16" customHeight="1" x14ac:dyDescent="0.2">
      <c r="A2" s="13" t="s">
        <v>34</v>
      </c>
      <c r="B2" s="2">
        <v>0.47</v>
      </c>
      <c r="C2" s="2" t="s">
        <v>35</v>
      </c>
      <c r="D2" s="2" t="s">
        <v>36</v>
      </c>
    </row>
    <row r="3" spans="1:4" ht="16" customHeight="1" x14ac:dyDescent="0.2">
      <c r="A3" s="13" t="s">
        <v>37</v>
      </c>
      <c r="B3" s="2">
        <v>3.666666666666667</v>
      </c>
      <c r="C3" s="2" t="s">
        <v>38</v>
      </c>
      <c r="D3" s="2" t="s">
        <v>39</v>
      </c>
    </row>
    <row r="4" spans="1:4" ht="16" customHeight="1" x14ac:dyDescent="0.2">
      <c r="A4" s="13" t="s">
        <v>40</v>
      </c>
      <c r="B4" s="2" t="s">
        <v>41</v>
      </c>
      <c r="C4" s="2" t="s">
        <v>42</v>
      </c>
      <c r="D4" s="2" t="s">
        <v>43</v>
      </c>
    </row>
    <row r="5" spans="1:4" ht="16" customHeight="1" x14ac:dyDescent="0.2">
      <c r="A5" s="13" t="s">
        <v>44</v>
      </c>
      <c r="B5" s="2">
        <v>40</v>
      </c>
      <c r="C5" s="2" t="s">
        <v>45</v>
      </c>
      <c r="D5" s="2" t="s">
        <v>46</v>
      </c>
    </row>
    <row r="6" spans="1:4" ht="16" customHeight="1" x14ac:dyDescent="0.2">
      <c r="A6" s="13" t="s">
        <v>47</v>
      </c>
      <c r="B6" s="2" t="s">
        <v>48</v>
      </c>
      <c r="C6" s="2" t="s">
        <v>49</v>
      </c>
      <c r="D6" s="2" t="s">
        <v>50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showGridLines="0" workbookViewId="0">
      <pane ySplit="1" topLeftCell="A2" activePane="bottomLeft" state="frozen"/>
      <selection pane="bottomLeft" activeCell="M10" sqref="M10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4" width="12" customWidth="1"/>
    <col min="5" max="5" width="14" customWidth="1"/>
    <col min="6" max="6" width="26" customWidth="1"/>
    <col min="7" max="7" width="13" hidden="1" customWidth="1"/>
  </cols>
  <sheetData>
    <row r="1" spans="1:7" ht="16" customHeight="1" x14ac:dyDescent="0.2">
      <c r="A1" s="20" t="s">
        <v>1</v>
      </c>
      <c r="B1" s="21" t="s">
        <v>51</v>
      </c>
      <c r="C1" s="21" t="s">
        <v>52</v>
      </c>
      <c r="D1" s="21" t="s">
        <v>53</v>
      </c>
      <c r="E1" s="21" t="s">
        <v>54</v>
      </c>
      <c r="F1" s="22" t="s">
        <v>55</v>
      </c>
      <c r="G1" s="1" t="s">
        <v>56</v>
      </c>
    </row>
    <row r="2" spans="1:7" ht="16" customHeight="1" x14ac:dyDescent="0.2">
      <c r="A2" s="15" t="s">
        <v>9</v>
      </c>
      <c r="B2" s="2">
        <v>1</v>
      </c>
      <c r="C2" s="2">
        <v>1.75</v>
      </c>
      <c r="D2" s="2">
        <v>0.75</v>
      </c>
      <c r="E2" s="2">
        <v>0.5</v>
      </c>
      <c r="F2" s="16"/>
      <c r="G2" s="5" t="str">
        <f t="shared" ref="G2:G33" si="0">A2&amp;"|"&amp;B2</f>
        <v>Cashew|1</v>
      </c>
    </row>
    <row r="3" spans="1:7" ht="16" customHeight="1" x14ac:dyDescent="0.2">
      <c r="A3" s="15" t="s">
        <v>9</v>
      </c>
      <c r="B3" s="2">
        <v>2</v>
      </c>
      <c r="C3" s="2">
        <v>2.089</v>
      </c>
      <c r="D3" s="2">
        <v>0.92300000000000004</v>
      </c>
      <c r="E3" s="2">
        <v>0.5</v>
      </c>
      <c r="F3" s="16">
        <f t="shared" ref="F3:F41" si="1">IF(OR(C3="",D3=""),NA(),0.076*POWER(POWER(C3,2)*D3,0.927))</f>
        <v>0.27651674556400879</v>
      </c>
      <c r="G3" s="5" t="str">
        <f t="shared" si="0"/>
        <v>Cashew|2</v>
      </c>
    </row>
    <row r="4" spans="1:7" ht="16" customHeight="1" x14ac:dyDescent="0.2">
      <c r="A4" s="15" t="s">
        <v>9</v>
      </c>
      <c r="B4" s="2">
        <v>3</v>
      </c>
      <c r="C4" s="2">
        <v>2.4870000000000001</v>
      </c>
      <c r="D4" s="2">
        <v>1.1319999999999999</v>
      </c>
      <c r="E4" s="2">
        <v>0.5</v>
      </c>
      <c r="F4" s="16">
        <f t="shared" si="1"/>
        <v>0.46164925162131648</v>
      </c>
      <c r="G4" s="5" t="str">
        <f t="shared" si="0"/>
        <v>Cashew|3</v>
      </c>
    </row>
    <row r="5" spans="1:7" ht="16" customHeight="1" x14ac:dyDescent="0.2">
      <c r="A5" s="15" t="s">
        <v>9</v>
      </c>
      <c r="B5" s="2">
        <v>4</v>
      </c>
      <c r="C5" s="2">
        <v>2.9510000000000001</v>
      </c>
      <c r="D5" s="2">
        <v>1.38</v>
      </c>
      <c r="E5" s="2">
        <v>0.5</v>
      </c>
      <c r="F5" s="16">
        <f t="shared" si="1"/>
        <v>0.76173589256756491</v>
      </c>
      <c r="G5" s="5" t="str">
        <f t="shared" si="0"/>
        <v>Cashew|4</v>
      </c>
    </row>
    <row r="6" spans="1:7" ht="16" customHeight="1" x14ac:dyDescent="0.2">
      <c r="A6" s="15" t="s">
        <v>9</v>
      </c>
      <c r="B6" s="2">
        <v>5</v>
      </c>
      <c r="C6" s="2">
        <v>3.488</v>
      </c>
      <c r="D6" s="2">
        <v>1.673</v>
      </c>
      <c r="E6" s="2">
        <v>0.5</v>
      </c>
      <c r="F6" s="16">
        <f t="shared" si="1"/>
        <v>1.2414553847022025</v>
      </c>
      <c r="G6" s="5" t="str">
        <f t="shared" si="0"/>
        <v>Cashew|5</v>
      </c>
    </row>
    <row r="7" spans="1:7" ht="16" customHeight="1" x14ac:dyDescent="0.2">
      <c r="A7" s="15" t="s">
        <v>9</v>
      </c>
      <c r="B7" s="2">
        <v>6</v>
      </c>
      <c r="C7" s="2">
        <v>4.1050000000000004</v>
      </c>
      <c r="D7" s="2">
        <v>2.0129999999999999</v>
      </c>
      <c r="E7" s="2">
        <v>0.5</v>
      </c>
      <c r="F7" s="16">
        <f t="shared" si="1"/>
        <v>1.9932389857298087</v>
      </c>
      <c r="G7" s="5" t="str">
        <f t="shared" si="0"/>
        <v>Cashew|6</v>
      </c>
    </row>
    <row r="8" spans="1:7" ht="16" customHeight="1" x14ac:dyDescent="0.2">
      <c r="A8" s="15" t="s">
        <v>9</v>
      </c>
      <c r="B8" s="2">
        <v>7</v>
      </c>
      <c r="C8" s="2">
        <v>4.806</v>
      </c>
      <c r="D8" s="2">
        <v>2.4020000000000001</v>
      </c>
      <c r="E8" s="2">
        <v>0.5</v>
      </c>
      <c r="F8" s="16">
        <f t="shared" si="1"/>
        <v>3.1450812476058214</v>
      </c>
      <c r="G8" s="5" t="str">
        <f t="shared" si="0"/>
        <v>Cashew|7</v>
      </c>
    </row>
    <row r="9" spans="1:7" ht="16" customHeight="1" x14ac:dyDescent="0.2">
      <c r="A9" s="15" t="s">
        <v>9</v>
      </c>
      <c r="B9" s="2">
        <v>8</v>
      </c>
      <c r="C9" s="2">
        <v>5.5949999999999998</v>
      </c>
      <c r="D9" s="2">
        <v>2.84</v>
      </c>
      <c r="E9" s="2">
        <v>0.5</v>
      </c>
      <c r="F9" s="16">
        <f t="shared" si="1"/>
        <v>4.8692386652320732</v>
      </c>
      <c r="G9" s="5" t="str">
        <f t="shared" si="0"/>
        <v>Cashew|8</v>
      </c>
    </row>
    <row r="10" spans="1:7" ht="16" customHeight="1" x14ac:dyDescent="0.2">
      <c r="A10" s="15" t="s">
        <v>9</v>
      </c>
      <c r="B10" s="2">
        <v>9</v>
      </c>
      <c r="C10" s="2">
        <v>6.4720000000000004</v>
      </c>
      <c r="D10" s="2">
        <v>3.323</v>
      </c>
      <c r="E10" s="2">
        <v>0.5</v>
      </c>
      <c r="F10" s="16">
        <f t="shared" si="1"/>
        <v>7.3779823780071085</v>
      </c>
      <c r="G10" s="5" t="str">
        <f t="shared" si="0"/>
        <v>Cashew|9</v>
      </c>
    </row>
    <row r="11" spans="1:7" ht="16" customHeight="1" x14ac:dyDescent="0.2">
      <c r="A11" s="15" t="s">
        <v>9</v>
      </c>
      <c r="B11" s="2">
        <v>10</v>
      </c>
      <c r="C11" s="2">
        <v>7.4340000000000002</v>
      </c>
      <c r="D11" s="2">
        <v>3.8439999999999999</v>
      </c>
      <c r="E11" s="2">
        <v>0.5</v>
      </c>
      <c r="F11" s="16">
        <f t="shared" si="1"/>
        <v>10.918284455361578</v>
      </c>
      <c r="G11" s="5" t="str">
        <f t="shared" si="0"/>
        <v>Cashew|10</v>
      </c>
    </row>
    <row r="12" spans="1:7" ht="16" customHeight="1" x14ac:dyDescent="0.2">
      <c r="A12" s="15" t="s">
        <v>9</v>
      </c>
      <c r="B12" s="2">
        <v>11</v>
      </c>
      <c r="C12" s="2">
        <v>8.4730000000000008</v>
      </c>
      <c r="D12" s="2">
        <v>4.3929999999999998</v>
      </c>
      <c r="E12" s="2">
        <v>0.5</v>
      </c>
      <c r="F12" s="16">
        <f t="shared" si="1"/>
        <v>15.748319183240012</v>
      </c>
      <c r="G12" s="5" t="str">
        <f t="shared" si="0"/>
        <v>Cashew|11</v>
      </c>
    </row>
    <row r="13" spans="1:7" ht="16" customHeight="1" x14ac:dyDescent="0.2">
      <c r="A13" s="15" t="s">
        <v>9</v>
      </c>
      <c r="B13" s="2">
        <v>12</v>
      </c>
      <c r="C13" s="2">
        <v>9.5779999999999994</v>
      </c>
      <c r="D13" s="2">
        <v>4.9569999999999999</v>
      </c>
      <c r="E13" s="2">
        <v>0.5</v>
      </c>
      <c r="F13" s="16">
        <f t="shared" si="1"/>
        <v>22.108794855303636</v>
      </c>
      <c r="G13" s="5" t="str">
        <f t="shared" si="0"/>
        <v>Cashew|12</v>
      </c>
    </row>
    <row r="14" spans="1:7" ht="16" customHeight="1" x14ac:dyDescent="0.2">
      <c r="A14" s="15" t="s">
        <v>9</v>
      </c>
      <c r="B14" s="2">
        <v>13</v>
      </c>
      <c r="C14" s="2">
        <v>10.734</v>
      </c>
      <c r="D14" s="2">
        <v>5.5220000000000002</v>
      </c>
      <c r="E14" s="2">
        <v>0.5</v>
      </c>
      <c r="F14" s="16">
        <f t="shared" si="1"/>
        <v>30.183454743194382</v>
      </c>
      <c r="G14" s="5" t="str">
        <f t="shared" si="0"/>
        <v>Cashew|13</v>
      </c>
    </row>
    <row r="15" spans="1:7" ht="16" customHeight="1" x14ac:dyDescent="0.2">
      <c r="A15" s="15" t="s">
        <v>9</v>
      </c>
      <c r="B15" s="2">
        <v>14</v>
      </c>
      <c r="C15" s="2">
        <v>11.922000000000001</v>
      </c>
      <c r="D15" s="2">
        <v>6.0739999999999998</v>
      </c>
      <c r="E15" s="2">
        <v>0.5</v>
      </c>
      <c r="F15" s="16">
        <f t="shared" si="1"/>
        <v>40.054008366800829</v>
      </c>
      <c r="G15" s="5" t="str">
        <f t="shared" si="0"/>
        <v>Cashew|14</v>
      </c>
    </row>
    <row r="16" spans="1:7" ht="16" customHeight="1" x14ac:dyDescent="0.2">
      <c r="A16" s="15" t="s">
        <v>9</v>
      </c>
      <c r="B16" s="2">
        <v>15</v>
      </c>
      <c r="C16" s="2">
        <v>13.12</v>
      </c>
      <c r="D16" s="2">
        <v>6.6</v>
      </c>
      <c r="E16" s="2">
        <v>0.5</v>
      </c>
      <c r="F16" s="16">
        <f t="shared" si="1"/>
        <v>51.663062956823119</v>
      </c>
      <c r="G16" s="5" t="str">
        <f t="shared" si="0"/>
        <v>Cashew|15</v>
      </c>
    </row>
    <row r="17" spans="1:7" ht="16" customHeight="1" x14ac:dyDescent="0.2">
      <c r="A17" s="15" t="s">
        <v>9</v>
      </c>
      <c r="B17" s="2">
        <v>16</v>
      </c>
      <c r="C17" s="2">
        <v>14.307</v>
      </c>
      <c r="D17" s="2">
        <v>7.0890000000000004</v>
      </c>
      <c r="E17" s="2">
        <v>0.5</v>
      </c>
      <c r="F17" s="16">
        <f t="shared" si="1"/>
        <v>64.817597167438507</v>
      </c>
      <c r="G17" s="5" t="str">
        <f t="shared" si="0"/>
        <v>Cashew|16</v>
      </c>
    </row>
    <row r="18" spans="1:7" ht="16" customHeight="1" x14ac:dyDescent="0.2">
      <c r="A18" s="15" t="s">
        <v>9</v>
      </c>
      <c r="B18" s="2">
        <v>17</v>
      </c>
      <c r="C18" s="2">
        <v>15.461</v>
      </c>
      <c r="D18" s="2">
        <v>7.5339999999999998</v>
      </c>
      <c r="E18" s="2">
        <v>0.5</v>
      </c>
      <c r="F18" s="16">
        <f t="shared" si="1"/>
        <v>79.188626769750428</v>
      </c>
      <c r="G18" s="5" t="str">
        <f t="shared" si="0"/>
        <v>Cashew|17</v>
      </c>
    </row>
    <row r="19" spans="1:7" ht="16" customHeight="1" x14ac:dyDescent="0.2">
      <c r="A19" s="15" t="s">
        <v>9</v>
      </c>
      <c r="B19" s="2">
        <v>18</v>
      </c>
      <c r="C19" s="2">
        <v>16.565000000000001</v>
      </c>
      <c r="D19" s="2">
        <v>7.931</v>
      </c>
      <c r="E19" s="2">
        <v>0.5</v>
      </c>
      <c r="F19" s="16">
        <f t="shared" si="1"/>
        <v>94.378165631223922</v>
      </c>
      <c r="G19" s="5" t="str">
        <f t="shared" si="0"/>
        <v>Cashew|18</v>
      </c>
    </row>
    <row r="20" spans="1:7" ht="16" customHeight="1" x14ac:dyDescent="0.2">
      <c r="A20" s="15" t="s">
        <v>9</v>
      </c>
      <c r="B20" s="2">
        <v>19</v>
      </c>
      <c r="C20" s="2">
        <v>17.600999999999999</v>
      </c>
      <c r="D20" s="2">
        <v>8.2789999999999999</v>
      </c>
      <c r="E20" s="2">
        <v>0.5</v>
      </c>
      <c r="F20" s="16">
        <f t="shared" si="1"/>
        <v>109.90193102834314</v>
      </c>
      <c r="G20" s="5" t="str">
        <f t="shared" si="0"/>
        <v>Cashew|19</v>
      </c>
    </row>
    <row r="21" spans="1:7" ht="16" customHeight="1" x14ac:dyDescent="0.2">
      <c r="A21" s="15" t="s">
        <v>9</v>
      </c>
      <c r="B21" s="2">
        <v>20</v>
      </c>
      <c r="C21" s="2">
        <v>18.559999999999999</v>
      </c>
      <c r="D21" s="2">
        <v>8.5779999999999994</v>
      </c>
      <c r="E21" s="2">
        <v>0.5</v>
      </c>
      <c r="F21" s="16">
        <f t="shared" si="1"/>
        <v>125.31585253453295</v>
      </c>
      <c r="G21" s="5" t="str">
        <f t="shared" si="0"/>
        <v>Cashew|20</v>
      </c>
    </row>
    <row r="22" spans="1:7" ht="16" customHeight="1" x14ac:dyDescent="0.2">
      <c r="A22" s="15" t="s">
        <v>9</v>
      </c>
      <c r="B22" s="2">
        <v>21</v>
      </c>
      <c r="C22" s="2">
        <v>19.434000000000001</v>
      </c>
      <c r="D22" s="2">
        <v>8.8330000000000002</v>
      </c>
      <c r="E22" s="2">
        <v>0.5</v>
      </c>
      <c r="F22" s="16">
        <f t="shared" si="1"/>
        <v>140.23300411236883</v>
      </c>
      <c r="G22" s="5" t="str">
        <f t="shared" si="0"/>
        <v>Cashew|21</v>
      </c>
    </row>
    <row r="23" spans="1:7" ht="16" customHeight="1" x14ac:dyDescent="0.2">
      <c r="A23" s="15" t="s">
        <v>9</v>
      </c>
      <c r="B23" s="2">
        <v>22</v>
      </c>
      <c r="C23" s="2">
        <v>20.22</v>
      </c>
      <c r="D23" s="2">
        <v>9.0470000000000006</v>
      </c>
      <c r="E23" s="2">
        <v>0.5</v>
      </c>
      <c r="F23" s="16">
        <f t="shared" si="1"/>
        <v>154.31622898137013</v>
      </c>
      <c r="G23" s="5" t="str">
        <f t="shared" si="0"/>
        <v>Cashew|22</v>
      </c>
    </row>
    <row r="24" spans="1:7" ht="16" customHeight="1" x14ac:dyDescent="0.2">
      <c r="A24" s="15" t="s">
        <v>9</v>
      </c>
      <c r="B24" s="2">
        <v>23</v>
      </c>
      <c r="C24" s="2">
        <v>20.917999999999999</v>
      </c>
      <c r="D24" s="2">
        <v>9.2260000000000009</v>
      </c>
      <c r="E24" s="2">
        <v>0.5</v>
      </c>
      <c r="F24" s="16">
        <f t="shared" si="1"/>
        <v>167.34989139176918</v>
      </c>
      <c r="G24" s="5" t="str">
        <f t="shared" si="0"/>
        <v>Cashew|23</v>
      </c>
    </row>
    <row r="25" spans="1:7" ht="16" customHeight="1" x14ac:dyDescent="0.2">
      <c r="A25" s="15" t="s">
        <v>9</v>
      </c>
      <c r="B25" s="2">
        <v>24</v>
      </c>
      <c r="C25" s="2">
        <v>21.532</v>
      </c>
      <c r="D25" s="2">
        <v>9.3729999999999993</v>
      </c>
      <c r="E25" s="2">
        <v>0.5</v>
      </c>
      <c r="F25" s="16">
        <f t="shared" si="1"/>
        <v>179.17750892144687</v>
      </c>
      <c r="G25" s="5" t="str">
        <f t="shared" si="0"/>
        <v>Cashew|24</v>
      </c>
    </row>
    <row r="26" spans="1:7" ht="16" customHeight="1" x14ac:dyDescent="0.2">
      <c r="A26" s="15" t="s">
        <v>9</v>
      </c>
      <c r="B26" s="2">
        <v>25</v>
      </c>
      <c r="C26" s="2">
        <v>22.065999999999999</v>
      </c>
      <c r="D26" s="2">
        <v>9.4939999999999998</v>
      </c>
      <c r="E26" s="2">
        <v>0.5</v>
      </c>
      <c r="F26" s="16">
        <f t="shared" si="1"/>
        <v>189.74598983988366</v>
      </c>
      <c r="G26" s="5" t="str">
        <f t="shared" si="0"/>
        <v>Cashew|25</v>
      </c>
    </row>
    <row r="27" spans="1:7" ht="16" customHeight="1" x14ac:dyDescent="0.2">
      <c r="A27" s="15" t="s">
        <v>9</v>
      </c>
      <c r="B27" s="2">
        <v>26</v>
      </c>
      <c r="C27" s="2">
        <v>22.527999999999999</v>
      </c>
      <c r="D27" s="2">
        <v>9.5920000000000005</v>
      </c>
      <c r="E27" s="2">
        <v>0.5</v>
      </c>
      <c r="F27" s="16">
        <f t="shared" si="1"/>
        <v>199.06328324157346</v>
      </c>
      <c r="G27" s="5" t="str">
        <f t="shared" si="0"/>
        <v>Cashew|26</v>
      </c>
    </row>
    <row r="28" spans="1:7" ht="16" customHeight="1" x14ac:dyDescent="0.2">
      <c r="A28" s="15" t="s">
        <v>9</v>
      </c>
      <c r="B28" s="2">
        <v>27</v>
      </c>
      <c r="C28" s="2">
        <v>22.923999999999999</v>
      </c>
      <c r="D28" s="2">
        <v>9.6720000000000006</v>
      </c>
      <c r="E28" s="2">
        <v>0.5</v>
      </c>
      <c r="F28" s="16">
        <f t="shared" si="1"/>
        <v>207.18847428638651</v>
      </c>
      <c r="G28" s="5" t="str">
        <f t="shared" si="0"/>
        <v>Cashew|27</v>
      </c>
    </row>
    <row r="29" spans="1:7" ht="16" customHeight="1" x14ac:dyDescent="0.2">
      <c r="A29" s="15" t="s">
        <v>9</v>
      </c>
      <c r="B29" s="2">
        <v>28</v>
      </c>
      <c r="C29" s="2">
        <v>23.260999999999999</v>
      </c>
      <c r="D29" s="2">
        <v>9.7370000000000001</v>
      </c>
      <c r="E29" s="2">
        <v>0.5</v>
      </c>
      <c r="F29" s="16">
        <f t="shared" si="1"/>
        <v>214.19668429673487</v>
      </c>
      <c r="G29" s="5" t="str">
        <f t="shared" si="0"/>
        <v>Cashew|28</v>
      </c>
    </row>
    <row r="30" spans="1:7" ht="16" customHeight="1" x14ac:dyDescent="0.2">
      <c r="A30" s="15" t="s">
        <v>9</v>
      </c>
      <c r="B30" s="2">
        <v>29</v>
      </c>
      <c r="C30" s="2">
        <v>23.547000000000001</v>
      </c>
      <c r="D30" s="2">
        <v>9.7889999999999997</v>
      </c>
      <c r="E30" s="2">
        <v>0.5</v>
      </c>
      <c r="F30" s="16">
        <f t="shared" si="1"/>
        <v>220.18949487972355</v>
      </c>
      <c r="G30" s="5" t="str">
        <f t="shared" si="0"/>
        <v>Cashew|29</v>
      </c>
    </row>
    <row r="31" spans="1:7" ht="16" customHeight="1" x14ac:dyDescent="0.2">
      <c r="A31" s="15" t="s">
        <v>9</v>
      </c>
      <c r="B31" s="2">
        <v>30</v>
      </c>
      <c r="C31" s="2">
        <v>23.788</v>
      </c>
      <c r="D31" s="2">
        <v>9.8309999999999995</v>
      </c>
      <c r="E31" s="2">
        <v>0.5</v>
      </c>
      <c r="F31" s="16">
        <f t="shared" si="1"/>
        <v>225.27824723304286</v>
      </c>
      <c r="G31" s="5" t="str">
        <f t="shared" si="0"/>
        <v>Cashew|30</v>
      </c>
    </row>
    <row r="32" spans="1:7" ht="16" customHeight="1" x14ac:dyDescent="0.2">
      <c r="A32" s="15" t="s">
        <v>9</v>
      </c>
      <c r="B32" s="2">
        <v>31</v>
      </c>
      <c r="C32" s="2">
        <v>23.991</v>
      </c>
      <c r="D32" s="2">
        <v>9.8650000000000002</v>
      </c>
      <c r="E32" s="2">
        <v>0.5</v>
      </c>
      <c r="F32" s="16">
        <f t="shared" si="1"/>
        <v>229.5890846678912</v>
      </c>
      <c r="G32" s="5" t="str">
        <f t="shared" si="0"/>
        <v>Cashew|31</v>
      </c>
    </row>
    <row r="33" spans="1:7" ht="16" customHeight="1" x14ac:dyDescent="0.2">
      <c r="A33" s="15" t="s">
        <v>9</v>
      </c>
      <c r="B33" s="2">
        <v>32</v>
      </c>
      <c r="C33" s="2">
        <v>24.161000000000001</v>
      </c>
      <c r="D33" s="2">
        <v>9.8919999999999995</v>
      </c>
      <c r="E33" s="2">
        <v>0.5</v>
      </c>
      <c r="F33" s="16">
        <f t="shared" si="1"/>
        <v>233.2045365886475</v>
      </c>
      <c r="G33" s="5" t="str">
        <f t="shared" si="0"/>
        <v>Cashew|32</v>
      </c>
    </row>
    <row r="34" spans="1:7" ht="16" customHeight="1" x14ac:dyDescent="0.2">
      <c r="A34" s="15" t="s">
        <v>9</v>
      </c>
      <c r="B34" s="2">
        <v>33</v>
      </c>
      <c r="C34" s="2">
        <v>24.303999999999998</v>
      </c>
      <c r="D34" s="2">
        <v>9.9139999999999997</v>
      </c>
      <c r="E34" s="2">
        <v>0.5</v>
      </c>
      <c r="F34" s="16">
        <f t="shared" si="1"/>
        <v>236.25602716173364</v>
      </c>
      <c r="G34" s="5" t="str">
        <f t="shared" ref="G34:G65" si="2">A34&amp;"|"&amp;B34</f>
        <v>Cashew|33</v>
      </c>
    </row>
    <row r="35" spans="1:7" ht="16" customHeight="1" x14ac:dyDescent="0.2">
      <c r="A35" s="15" t="s">
        <v>9</v>
      </c>
      <c r="B35" s="2">
        <v>34</v>
      </c>
      <c r="C35" s="2">
        <v>24.422000000000001</v>
      </c>
      <c r="D35" s="2">
        <v>9.9309999999999992</v>
      </c>
      <c r="E35" s="2">
        <v>0.5</v>
      </c>
      <c r="F35" s="16">
        <f t="shared" si="1"/>
        <v>238.76599854034052</v>
      </c>
      <c r="G35" s="5" t="str">
        <f t="shared" si="2"/>
        <v>Cashew|34</v>
      </c>
    </row>
    <row r="36" spans="1:7" ht="16" customHeight="1" x14ac:dyDescent="0.2">
      <c r="A36" s="15" t="s">
        <v>9</v>
      </c>
      <c r="B36" s="2">
        <v>35</v>
      </c>
      <c r="C36" s="2">
        <v>24.521000000000001</v>
      </c>
      <c r="D36" s="2">
        <v>9.9450000000000003</v>
      </c>
      <c r="E36" s="2">
        <v>0.5</v>
      </c>
      <c r="F36" s="16">
        <f t="shared" si="1"/>
        <v>240.87793035880847</v>
      </c>
      <c r="G36" s="5" t="str">
        <f t="shared" si="2"/>
        <v>Cashew|35</v>
      </c>
    </row>
    <row r="37" spans="1:7" ht="16" customHeight="1" x14ac:dyDescent="0.2">
      <c r="A37" s="15" t="s">
        <v>9</v>
      </c>
      <c r="B37" s="2">
        <v>36</v>
      </c>
      <c r="C37" s="2">
        <v>24.603999999999999</v>
      </c>
      <c r="D37" s="2">
        <v>9.9559999999999995</v>
      </c>
      <c r="E37" s="2">
        <v>0.5</v>
      </c>
      <c r="F37" s="16">
        <f t="shared" si="1"/>
        <v>242.64027260037804</v>
      </c>
      <c r="G37" s="5" t="str">
        <f t="shared" si="2"/>
        <v>Cashew|36</v>
      </c>
    </row>
    <row r="38" spans="1:7" ht="16" customHeight="1" x14ac:dyDescent="0.2">
      <c r="A38" s="15" t="s">
        <v>9</v>
      </c>
      <c r="B38" s="2">
        <v>37</v>
      </c>
      <c r="C38" s="2">
        <v>24.672000000000001</v>
      </c>
      <c r="D38" s="2">
        <v>9.9649999999999999</v>
      </c>
      <c r="E38" s="2">
        <v>0.5</v>
      </c>
      <c r="F38" s="16">
        <f t="shared" si="1"/>
        <v>244.08940509305</v>
      </c>
      <c r="G38" s="5" t="str">
        <f t="shared" si="2"/>
        <v>Cashew|37</v>
      </c>
    </row>
    <row r="39" spans="1:7" ht="16" customHeight="1" x14ac:dyDescent="0.2">
      <c r="A39" s="15" t="s">
        <v>9</v>
      </c>
      <c r="B39" s="2">
        <v>38</v>
      </c>
      <c r="C39" s="2">
        <v>24.728999999999999</v>
      </c>
      <c r="D39" s="2">
        <v>9.9719999999999995</v>
      </c>
      <c r="E39" s="2">
        <v>0.5</v>
      </c>
      <c r="F39" s="16">
        <f t="shared" si="1"/>
        <v>245.29557202720468</v>
      </c>
      <c r="G39" s="5" t="str">
        <f t="shared" si="2"/>
        <v>Cashew|38</v>
      </c>
    </row>
    <row r="40" spans="1:7" ht="16" customHeight="1" x14ac:dyDescent="0.2">
      <c r="A40" s="15" t="s">
        <v>9</v>
      </c>
      <c r="B40" s="2">
        <v>39</v>
      </c>
      <c r="C40" s="2">
        <v>24.776</v>
      </c>
      <c r="D40" s="2">
        <v>9.9779999999999998</v>
      </c>
      <c r="E40" s="2">
        <v>0.5</v>
      </c>
      <c r="F40" s="16">
        <f t="shared" si="1"/>
        <v>246.29792159621056</v>
      </c>
      <c r="G40" s="5" t="str">
        <f t="shared" si="2"/>
        <v>Cashew|39</v>
      </c>
    </row>
    <row r="41" spans="1:7" ht="16" customHeight="1" x14ac:dyDescent="0.2">
      <c r="A41" s="15" t="s">
        <v>9</v>
      </c>
      <c r="B41" s="2">
        <v>40</v>
      </c>
      <c r="C41" s="2">
        <v>24.814</v>
      </c>
      <c r="D41" s="2">
        <v>9.9819999999999993</v>
      </c>
      <c r="E41" s="2">
        <v>0.5</v>
      </c>
      <c r="F41" s="16">
        <f t="shared" si="1"/>
        <v>247.0905304566937</v>
      </c>
      <c r="G41" s="5" t="str">
        <f t="shared" si="2"/>
        <v>Cashew|40</v>
      </c>
    </row>
    <row r="42" spans="1:7" ht="16" customHeight="1" x14ac:dyDescent="0.2">
      <c r="A42" s="15" t="s">
        <v>13</v>
      </c>
      <c r="B42" s="2">
        <v>1</v>
      </c>
      <c r="C42" s="2">
        <v>1.2</v>
      </c>
      <c r="D42" s="2">
        <v>1</v>
      </c>
      <c r="E42" s="2">
        <v>0.6</v>
      </c>
      <c r="F42" s="16">
        <f t="shared" ref="F42:F81" si="3">IF(OR(E42="",C42="",D42=""),NA(),0.0673*POWER(E42*POWER(C42,2)*D42,0.976))</f>
        <v>5.8351560765758037E-2</v>
      </c>
      <c r="G42" s="5" t="str">
        <f t="shared" si="2"/>
        <v>Dawadawa|1</v>
      </c>
    </row>
    <row r="43" spans="1:7" ht="16" customHeight="1" x14ac:dyDescent="0.2">
      <c r="A43" s="15" t="s">
        <v>13</v>
      </c>
      <c r="B43" s="2">
        <v>2</v>
      </c>
      <c r="C43" s="2">
        <v>2.4</v>
      </c>
      <c r="D43" s="2">
        <v>1.5569999999999999</v>
      </c>
      <c r="E43" s="2">
        <v>0.6</v>
      </c>
      <c r="F43" s="16">
        <f t="shared" si="3"/>
        <v>0.34780571533067073</v>
      </c>
      <c r="G43" s="5" t="str">
        <f t="shared" si="2"/>
        <v>Dawadawa|2</v>
      </c>
    </row>
    <row r="44" spans="1:7" ht="16" customHeight="1" x14ac:dyDescent="0.2">
      <c r="A44" s="15" t="s">
        <v>13</v>
      </c>
      <c r="B44" s="2">
        <v>3</v>
      </c>
      <c r="C44" s="2">
        <v>3.6</v>
      </c>
      <c r="D44" s="2">
        <v>2.3820000000000001</v>
      </c>
      <c r="E44" s="2">
        <v>0.6</v>
      </c>
      <c r="F44" s="16">
        <f t="shared" si="3"/>
        <v>1.1622199367668204</v>
      </c>
      <c r="G44" s="5" t="str">
        <f t="shared" si="2"/>
        <v>Dawadawa|3</v>
      </c>
    </row>
    <row r="45" spans="1:7" ht="16" customHeight="1" x14ac:dyDescent="0.2">
      <c r="A45" s="15" t="s">
        <v>13</v>
      </c>
      <c r="B45" s="2">
        <v>4</v>
      </c>
      <c r="C45" s="2">
        <v>4.8</v>
      </c>
      <c r="D45" s="2">
        <v>3.548</v>
      </c>
      <c r="E45" s="2">
        <v>0.6</v>
      </c>
      <c r="F45" s="16">
        <f t="shared" si="3"/>
        <v>3.0064749140005675</v>
      </c>
      <c r="G45" s="5" t="str">
        <f t="shared" si="2"/>
        <v>Dawadawa|4</v>
      </c>
    </row>
    <row r="46" spans="1:7" ht="16" customHeight="1" x14ac:dyDescent="0.2">
      <c r="A46" s="15" t="s">
        <v>13</v>
      </c>
      <c r="B46" s="2">
        <v>5</v>
      </c>
      <c r="C46" s="2">
        <v>6</v>
      </c>
      <c r="D46" s="2">
        <v>5.0990000000000002</v>
      </c>
      <c r="E46" s="2">
        <v>0.6</v>
      </c>
      <c r="F46" s="16">
        <f t="shared" si="3"/>
        <v>6.62136146566134</v>
      </c>
      <c r="G46" s="5" t="str">
        <f t="shared" si="2"/>
        <v>Dawadawa|5</v>
      </c>
    </row>
    <row r="47" spans="1:7" ht="16" customHeight="1" x14ac:dyDescent="0.2">
      <c r="A47" s="15" t="s">
        <v>13</v>
      </c>
      <c r="B47" s="2">
        <v>6</v>
      </c>
      <c r="C47" s="2">
        <v>7.2</v>
      </c>
      <c r="D47" s="2">
        <v>7</v>
      </c>
      <c r="E47" s="2">
        <v>0.6</v>
      </c>
      <c r="F47" s="16">
        <f t="shared" si="3"/>
        <v>12.877139624191003</v>
      </c>
      <c r="G47" s="5" t="str">
        <f t="shared" si="2"/>
        <v>Dawadawa|6</v>
      </c>
    </row>
    <row r="48" spans="1:7" ht="16" customHeight="1" x14ac:dyDescent="0.2">
      <c r="A48" s="15" t="s">
        <v>13</v>
      </c>
      <c r="B48" s="2">
        <v>7</v>
      </c>
      <c r="C48" s="2">
        <v>8.4</v>
      </c>
      <c r="D48" s="2">
        <v>9.109</v>
      </c>
      <c r="E48" s="2">
        <v>0.6</v>
      </c>
      <c r="F48" s="16">
        <f t="shared" si="3"/>
        <v>22.497137164800716</v>
      </c>
      <c r="G48" s="5" t="str">
        <f t="shared" si="2"/>
        <v>Dawadawa|7</v>
      </c>
    </row>
    <row r="49" spans="1:7" ht="16" customHeight="1" x14ac:dyDescent="0.2">
      <c r="A49" s="15" t="s">
        <v>13</v>
      </c>
      <c r="B49" s="2">
        <v>8</v>
      </c>
      <c r="C49" s="2">
        <v>9.6</v>
      </c>
      <c r="D49" s="2">
        <v>11.206</v>
      </c>
      <c r="E49" s="2">
        <v>0.6</v>
      </c>
      <c r="F49" s="16">
        <f t="shared" si="3"/>
        <v>35.739455759932554</v>
      </c>
      <c r="G49" s="5" t="str">
        <f t="shared" si="2"/>
        <v>Dawadawa|8</v>
      </c>
    </row>
    <row r="50" spans="1:7" ht="16" customHeight="1" x14ac:dyDescent="0.2">
      <c r="A50" s="15" t="s">
        <v>13</v>
      </c>
      <c r="B50" s="2">
        <v>9</v>
      </c>
      <c r="C50" s="2">
        <v>10.8</v>
      </c>
      <c r="D50" s="2">
        <v>13.076000000000001</v>
      </c>
      <c r="E50" s="2">
        <v>0.6</v>
      </c>
      <c r="F50" s="16">
        <f t="shared" si="3"/>
        <v>52.289365183606826</v>
      </c>
      <c r="G50" s="5" t="str">
        <f t="shared" si="2"/>
        <v>Dawadawa|9</v>
      </c>
    </row>
    <row r="51" spans="1:7" ht="16" customHeight="1" x14ac:dyDescent="0.2">
      <c r="A51" s="15" t="s">
        <v>13</v>
      </c>
      <c r="B51" s="2">
        <v>10</v>
      </c>
      <c r="C51" s="2">
        <v>12</v>
      </c>
      <c r="D51" s="2">
        <v>14.587999999999999</v>
      </c>
      <c r="E51" s="2">
        <v>0.6</v>
      </c>
      <c r="F51" s="16">
        <f t="shared" si="3"/>
        <v>71.468115962921203</v>
      </c>
      <c r="G51" s="5" t="str">
        <f t="shared" si="2"/>
        <v>Dawadawa|10</v>
      </c>
    </row>
    <row r="52" spans="1:7" ht="16" customHeight="1" x14ac:dyDescent="0.2">
      <c r="A52" s="15" t="s">
        <v>13</v>
      </c>
      <c r="B52" s="2">
        <v>11</v>
      </c>
      <c r="C52" s="2">
        <v>13.2</v>
      </c>
      <c r="D52" s="2">
        <v>15.717000000000001</v>
      </c>
      <c r="E52" s="2">
        <v>0.6</v>
      </c>
      <c r="F52" s="16">
        <f t="shared" si="3"/>
        <v>92.577996908016132</v>
      </c>
      <c r="G52" s="5" t="str">
        <f t="shared" si="2"/>
        <v>Dawadawa|11</v>
      </c>
    </row>
    <row r="53" spans="1:7" ht="16" customHeight="1" x14ac:dyDescent="0.2">
      <c r="A53" s="15" t="s">
        <v>13</v>
      </c>
      <c r="B53" s="2">
        <v>12</v>
      </c>
      <c r="C53" s="2">
        <v>14.4</v>
      </c>
      <c r="D53" s="2">
        <v>16.510000000000002</v>
      </c>
      <c r="E53" s="2">
        <v>0.6</v>
      </c>
      <c r="F53" s="16">
        <f t="shared" si="3"/>
        <v>115.11592635326991</v>
      </c>
      <c r="G53" s="5" t="str">
        <f t="shared" si="2"/>
        <v>Dawadawa|12</v>
      </c>
    </row>
    <row r="54" spans="1:7" ht="16" customHeight="1" x14ac:dyDescent="0.2">
      <c r="A54" s="15" t="s">
        <v>13</v>
      </c>
      <c r="B54" s="2">
        <v>13</v>
      </c>
      <c r="C54" s="2">
        <v>15.6</v>
      </c>
      <c r="D54" s="2">
        <v>17.045000000000002</v>
      </c>
      <c r="E54" s="2">
        <v>0.6</v>
      </c>
      <c r="F54" s="16">
        <f t="shared" si="3"/>
        <v>138.83807324207916</v>
      </c>
      <c r="G54" s="5" t="str">
        <f t="shared" si="2"/>
        <v>Dawadawa|13</v>
      </c>
    </row>
    <row r="55" spans="1:7" ht="16" customHeight="1" x14ac:dyDescent="0.2">
      <c r="A55" s="15" t="s">
        <v>13</v>
      </c>
      <c r="B55" s="2">
        <v>14</v>
      </c>
      <c r="C55" s="2">
        <v>16.8</v>
      </c>
      <c r="D55" s="2">
        <v>17.395</v>
      </c>
      <c r="E55" s="2">
        <v>0.6</v>
      </c>
      <c r="F55" s="16">
        <f t="shared" si="3"/>
        <v>163.66229964240543</v>
      </c>
      <c r="G55" s="5" t="str">
        <f t="shared" si="2"/>
        <v>Dawadawa|14</v>
      </c>
    </row>
    <row r="56" spans="1:7" ht="16" customHeight="1" x14ac:dyDescent="0.2">
      <c r="A56" s="15" t="s">
        <v>13</v>
      </c>
      <c r="B56" s="2">
        <v>15</v>
      </c>
      <c r="C56" s="2">
        <v>18</v>
      </c>
      <c r="D56" s="2">
        <v>17.619</v>
      </c>
      <c r="E56" s="2">
        <v>0.6</v>
      </c>
      <c r="F56" s="16">
        <f t="shared" si="3"/>
        <v>189.60959910489643</v>
      </c>
      <c r="G56" s="5" t="str">
        <f t="shared" si="2"/>
        <v>Dawadawa|15</v>
      </c>
    </row>
    <row r="57" spans="1:7" ht="16" customHeight="1" x14ac:dyDescent="0.2">
      <c r="A57" s="15" t="s">
        <v>13</v>
      </c>
      <c r="B57" s="2">
        <v>16</v>
      </c>
      <c r="C57" s="2">
        <v>19.2</v>
      </c>
      <c r="D57" s="2">
        <v>17.762</v>
      </c>
      <c r="E57" s="2">
        <v>0.6</v>
      </c>
      <c r="F57" s="16">
        <f t="shared" si="3"/>
        <v>216.76978356050884</v>
      </c>
      <c r="G57" s="5" t="str">
        <f t="shared" si="2"/>
        <v>Dawadawa|16</v>
      </c>
    </row>
    <row r="58" spans="1:7" ht="16" customHeight="1" x14ac:dyDescent="0.2">
      <c r="A58" s="15" t="s">
        <v>13</v>
      </c>
      <c r="B58" s="2">
        <v>17</v>
      </c>
      <c r="C58" s="2">
        <v>20.399999999999999</v>
      </c>
      <c r="D58" s="2">
        <v>17.850999999999999</v>
      </c>
      <c r="E58" s="2">
        <v>0.6</v>
      </c>
      <c r="F58" s="16">
        <f t="shared" si="3"/>
        <v>245.19489293888716</v>
      </c>
      <c r="G58" s="5" t="str">
        <f t="shared" si="2"/>
        <v>Dawadawa|17</v>
      </c>
    </row>
    <row r="59" spans="1:7" ht="16" customHeight="1" x14ac:dyDescent="0.2">
      <c r="A59" s="15" t="s">
        <v>13</v>
      </c>
      <c r="B59" s="2">
        <v>18</v>
      </c>
      <c r="C59" s="2">
        <v>21.6</v>
      </c>
      <c r="D59" s="2">
        <v>17.907</v>
      </c>
      <c r="E59" s="2">
        <v>0.6</v>
      </c>
      <c r="F59" s="16">
        <f t="shared" si="3"/>
        <v>274.97593816432521</v>
      </c>
      <c r="G59" s="5" t="str">
        <f t="shared" si="2"/>
        <v>Dawadawa|18</v>
      </c>
    </row>
    <row r="60" spans="1:7" ht="16" customHeight="1" x14ac:dyDescent="0.2">
      <c r="A60" s="15" t="s">
        <v>13</v>
      </c>
      <c r="B60" s="2">
        <v>19</v>
      </c>
      <c r="C60" s="2">
        <v>22.8</v>
      </c>
      <c r="D60" s="2">
        <v>17.942</v>
      </c>
      <c r="E60" s="2">
        <v>0.6</v>
      </c>
      <c r="F60" s="16">
        <f t="shared" si="3"/>
        <v>306.16635077090905</v>
      </c>
      <c r="G60" s="5" t="str">
        <f t="shared" si="2"/>
        <v>Dawadawa|19</v>
      </c>
    </row>
    <row r="61" spans="1:7" ht="16" customHeight="1" x14ac:dyDescent="0.2">
      <c r="A61" s="15" t="s">
        <v>13</v>
      </c>
      <c r="B61" s="2">
        <v>20</v>
      </c>
      <c r="C61" s="2">
        <v>24</v>
      </c>
      <c r="D61" s="2">
        <v>17.963999999999999</v>
      </c>
      <c r="E61" s="2">
        <v>0.6</v>
      </c>
      <c r="F61" s="16">
        <f t="shared" si="3"/>
        <v>338.81326225839121</v>
      </c>
      <c r="G61" s="5" t="str">
        <f t="shared" si="2"/>
        <v>Dawadawa|20</v>
      </c>
    </row>
    <row r="62" spans="1:7" ht="16" customHeight="1" x14ac:dyDescent="0.2">
      <c r="A62" s="15" t="s">
        <v>13</v>
      </c>
      <c r="B62" s="2">
        <v>21</v>
      </c>
      <c r="C62" s="2">
        <v>25.2</v>
      </c>
      <c r="D62" s="2">
        <v>17.978000000000002</v>
      </c>
      <c r="E62" s="2">
        <v>0.6</v>
      </c>
      <c r="F62" s="16">
        <f t="shared" si="3"/>
        <v>372.95129824317297</v>
      </c>
      <c r="G62" s="5" t="str">
        <f t="shared" si="2"/>
        <v>Dawadawa|21</v>
      </c>
    </row>
    <row r="63" spans="1:7" ht="16" customHeight="1" x14ac:dyDescent="0.2">
      <c r="A63" s="15" t="s">
        <v>13</v>
      </c>
      <c r="B63" s="2">
        <v>22</v>
      </c>
      <c r="C63" s="2">
        <v>26.4</v>
      </c>
      <c r="D63" s="2">
        <v>17.986000000000001</v>
      </c>
      <c r="E63" s="2">
        <v>0.6</v>
      </c>
      <c r="F63" s="16">
        <f t="shared" si="3"/>
        <v>408.58056889214043</v>
      </c>
      <c r="G63" s="5" t="str">
        <f t="shared" si="2"/>
        <v>Dawadawa|22</v>
      </c>
    </row>
    <row r="64" spans="1:7" ht="16" customHeight="1" x14ac:dyDescent="0.2">
      <c r="A64" s="15" t="s">
        <v>13</v>
      </c>
      <c r="B64" s="2">
        <v>23</v>
      </c>
      <c r="C64" s="2">
        <v>27.6</v>
      </c>
      <c r="D64" s="2">
        <v>17.991</v>
      </c>
      <c r="E64" s="2">
        <v>0.6</v>
      </c>
      <c r="F64" s="16">
        <f t="shared" si="3"/>
        <v>445.73751656768593</v>
      </c>
      <c r="G64" s="5" t="str">
        <f t="shared" si="2"/>
        <v>Dawadawa|23</v>
      </c>
    </row>
    <row r="65" spans="1:7" ht="16" customHeight="1" x14ac:dyDescent="0.2">
      <c r="A65" s="15" t="s">
        <v>13</v>
      </c>
      <c r="B65" s="2">
        <v>24</v>
      </c>
      <c r="C65" s="2">
        <v>28.8</v>
      </c>
      <c r="D65" s="2">
        <v>17.995000000000001</v>
      </c>
      <c r="E65" s="2">
        <v>0.6</v>
      </c>
      <c r="F65" s="16">
        <f t="shared" si="3"/>
        <v>484.45453673909492</v>
      </c>
      <c r="G65" s="5" t="str">
        <f t="shared" si="2"/>
        <v>Dawadawa|24</v>
      </c>
    </row>
    <row r="66" spans="1:7" ht="16" customHeight="1" x14ac:dyDescent="0.2">
      <c r="A66" s="15" t="s">
        <v>13</v>
      </c>
      <c r="B66" s="2">
        <v>25</v>
      </c>
      <c r="C66" s="2">
        <v>30</v>
      </c>
      <c r="D66" s="2">
        <v>17.997</v>
      </c>
      <c r="E66" s="2">
        <v>0.6</v>
      </c>
      <c r="F66" s="16">
        <f t="shared" si="3"/>
        <v>524.69471245039938</v>
      </c>
      <c r="G66" s="5" t="str">
        <f t="shared" ref="G66:G97" si="4">A66&amp;"|"&amp;B66</f>
        <v>Dawadawa|25</v>
      </c>
    </row>
    <row r="67" spans="1:7" ht="16" customHeight="1" x14ac:dyDescent="0.2">
      <c r="A67" s="15" t="s">
        <v>13</v>
      </c>
      <c r="B67" s="2">
        <v>26</v>
      </c>
      <c r="C67" s="2">
        <v>31.2</v>
      </c>
      <c r="D67" s="2">
        <v>17.998000000000001</v>
      </c>
      <c r="E67" s="2">
        <v>0.6</v>
      </c>
      <c r="F67" s="16">
        <f t="shared" si="3"/>
        <v>566.47313421689762</v>
      </c>
      <c r="G67" s="5" t="str">
        <f t="shared" si="4"/>
        <v>Dawadawa|26</v>
      </c>
    </row>
    <row r="68" spans="1:7" ht="16" customHeight="1" x14ac:dyDescent="0.2">
      <c r="A68" s="15" t="s">
        <v>13</v>
      </c>
      <c r="B68" s="2">
        <v>27</v>
      </c>
      <c r="C68" s="2">
        <v>32.4</v>
      </c>
      <c r="D68" s="2">
        <v>17.998999999999999</v>
      </c>
      <c r="E68" s="2">
        <v>0.6</v>
      </c>
      <c r="F68" s="16">
        <f t="shared" si="3"/>
        <v>609.81339598915417</v>
      </c>
      <c r="G68" s="5" t="str">
        <f t="shared" si="4"/>
        <v>Dawadawa|27</v>
      </c>
    </row>
    <row r="69" spans="1:7" ht="16" customHeight="1" x14ac:dyDescent="0.2">
      <c r="A69" s="15" t="s">
        <v>13</v>
      </c>
      <c r="B69" s="2">
        <v>28</v>
      </c>
      <c r="C69" s="2">
        <v>33.6</v>
      </c>
      <c r="D69" s="2">
        <v>17.998999999999999</v>
      </c>
      <c r="E69" s="2">
        <v>0.6</v>
      </c>
      <c r="F69" s="16">
        <f t="shared" si="3"/>
        <v>654.67743165432182</v>
      </c>
      <c r="G69" s="5" t="str">
        <f t="shared" si="4"/>
        <v>Dawadawa|28</v>
      </c>
    </row>
    <row r="70" spans="1:7" ht="16" customHeight="1" x14ac:dyDescent="0.2">
      <c r="A70" s="15" t="s">
        <v>13</v>
      </c>
      <c r="B70" s="2">
        <v>29</v>
      </c>
      <c r="C70" s="2">
        <v>34.799999999999997</v>
      </c>
      <c r="D70" s="2">
        <v>18</v>
      </c>
      <c r="E70" s="2">
        <v>0.6</v>
      </c>
      <c r="F70" s="16">
        <f t="shared" si="3"/>
        <v>701.13126510324889</v>
      </c>
      <c r="G70" s="5" t="str">
        <f t="shared" si="4"/>
        <v>Dawadawa|29</v>
      </c>
    </row>
    <row r="71" spans="1:7" ht="16" customHeight="1" x14ac:dyDescent="0.2">
      <c r="A71" s="15" t="s">
        <v>13</v>
      </c>
      <c r="B71" s="2">
        <v>30</v>
      </c>
      <c r="C71" s="2">
        <v>36</v>
      </c>
      <c r="D71" s="2">
        <v>18</v>
      </c>
      <c r="E71" s="2">
        <v>0.6</v>
      </c>
      <c r="F71" s="16">
        <f t="shared" si="3"/>
        <v>749.09885125010169</v>
      </c>
      <c r="G71" s="5" t="str">
        <f t="shared" si="4"/>
        <v>Dawadawa|30</v>
      </c>
    </row>
    <row r="72" spans="1:7" ht="16" customHeight="1" x14ac:dyDescent="0.2">
      <c r="A72" s="15" t="s">
        <v>13</v>
      </c>
      <c r="B72" s="2">
        <v>31</v>
      </c>
      <c r="C72" s="2">
        <v>37.200000000000003</v>
      </c>
      <c r="D72" s="2">
        <v>18</v>
      </c>
      <c r="E72" s="2">
        <v>0.6</v>
      </c>
      <c r="F72" s="16">
        <f t="shared" si="3"/>
        <v>798.61317059367275</v>
      </c>
      <c r="G72" s="5" t="str">
        <f t="shared" si="4"/>
        <v>Dawadawa|31</v>
      </c>
    </row>
    <row r="73" spans="1:7" ht="16" customHeight="1" x14ac:dyDescent="0.2">
      <c r="A73" s="15" t="s">
        <v>13</v>
      </c>
      <c r="B73" s="2">
        <v>32</v>
      </c>
      <c r="C73" s="2">
        <v>38.4</v>
      </c>
      <c r="D73" s="2">
        <v>18</v>
      </c>
      <c r="E73" s="2">
        <v>0.6</v>
      </c>
      <c r="F73" s="16">
        <f t="shared" si="3"/>
        <v>849.67179017080196</v>
      </c>
      <c r="G73" s="5" t="str">
        <f t="shared" si="4"/>
        <v>Dawadawa|32</v>
      </c>
    </row>
    <row r="74" spans="1:7" ht="16" customHeight="1" x14ac:dyDescent="0.2">
      <c r="A74" s="15" t="s">
        <v>13</v>
      </c>
      <c r="B74" s="2">
        <v>33</v>
      </c>
      <c r="C74" s="2">
        <v>39.6</v>
      </c>
      <c r="D74" s="2">
        <v>18</v>
      </c>
      <c r="E74" s="2">
        <v>0.6</v>
      </c>
      <c r="F74" s="16">
        <f t="shared" si="3"/>
        <v>902.27235794275009</v>
      </c>
      <c r="G74" s="5" t="str">
        <f t="shared" si="4"/>
        <v>Dawadawa|33</v>
      </c>
    </row>
    <row r="75" spans="1:7" ht="16" customHeight="1" x14ac:dyDescent="0.2">
      <c r="A75" s="15" t="s">
        <v>13</v>
      </c>
      <c r="B75" s="2">
        <v>34</v>
      </c>
      <c r="C75" s="2">
        <v>40.799999999999997</v>
      </c>
      <c r="D75" s="2">
        <v>18</v>
      </c>
      <c r="E75" s="2">
        <v>0.6</v>
      </c>
      <c r="F75" s="16">
        <f t="shared" si="3"/>
        <v>956.41259769575186</v>
      </c>
      <c r="G75" s="5" t="str">
        <f t="shared" si="4"/>
        <v>Dawadawa|34</v>
      </c>
    </row>
    <row r="76" spans="1:7" ht="16" customHeight="1" x14ac:dyDescent="0.2">
      <c r="A76" s="15" t="s">
        <v>13</v>
      </c>
      <c r="B76" s="2">
        <v>35</v>
      </c>
      <c r="C76" s="2">
        <v>42</v>
      </c>
      <c r="D76" s="2">
        <v>18</v>
      </c>
      <c r="E76" s="2">
        <v>0.6</v>
      </c>
      <c r="F76" s="16">
        <f t="shared" si="3"/>
        <v>1012.0903044056284</v>
      </c>
      <c r="G76" s="5" t="str">
        <f t="shared" si="4"/>
        <v>Dawadawa|35</v>
      </c>
    </row>
    <row r="77" spans="1:7" ht="16" customHeight="1" x14ac:dyDescent="0.2">
      <c r="A77" s="15" t="s">
        <v>13</v>
      </c>
      <c r="B77" s="2">
        <v>36</v>
      </c>
      <c r="C77" s="2">
        <v>43.2</v>
      </c>
      <c r="D77" s="2">
        <v>18</v>
      </c>
      <c r="E77" s="2">
        <v>0.6</v>
      </c>
      <c r="F77" s="16">
        <f t="shared" si="3"/>
        <v>1069.3033400120023</v>
      </c>
      <c r="G77" s="5" t="str">
        <f t="shared" si="4"/>
        <v>Dawadawa|36</v>
      </c>
    </row>
    <row r="78" spans="1:7" ht="16" customHeight="1" x14ac:dyDescent="0.2">
      <c r="A78" s="15" t="s">
        <v>13</v>
      </c>
      <c r="B78" s="2">
        <v>37</v>
      </c>
      <c r="C78" s="2">
        <v>44.4</v>
      </c>
      <c r="D78" s="2">
        <v>18</v>
      </c>
      <c r="E78" s="2">
        <v>0.6</v>
      </c>
      <c r="F78" s="16">
        <f t="shared" si="3"/>
        <v>1128.0496295553899</v>
      </c>
      <c r="G78" s="5" t="str">
        <f t="shared" si="4"/>
        <v>Dawadawa|37</v>
      </c>
    </row>
    <row r="79" spans="1:7" ht="16" customHeight="1" x14ac:dyDescent="0.2">
      <c r="A79" s="15" t="s">
        <v>13</v>
      </c>
      <c r="B79" s="2">
        <v>38</v>
      </c>
      <c r="C79" s="2">
        <v>45.6</v>
      </c>
      <c r="D79" s="2">
        <v>18</v>
      </c>
      <c r="E79" s="2">
        <v>0.6</v>
      </c>
      <c r="F79" s="16">
        <f t="shared" si="3"/>
        <v>1188.3271576369132</v>
      </c>
      <c r="G79" s="5" t="str">
        <f t="shared" si="4"/>
        <v>Dawadawa|38</v>
      </c>
    </row>
    <row r="80" spans="1:7" ht="16" customHeight="1" x14ac:dyDescent="0.2">
      <c r="A80" s="15" t="s">
        <v>13</v>
      </c>
      <c r="B80" s="2">
        <v>39</v>
      </c>
      <c r="C80" s="2">
        <v>46.8</v>
      </c>
      <c r="D80" s="2">
        <v>18</v>
      </c>
      <c r="E80" s="2">
        <v>0.6</v>
      </c>
      <c r="F80" s="16">
        <f t="shared" si="3"/>
        <v>1250.1339651657986</v>
      </c>
      <c r="G80" s="5" t="str">
        <f t="shared" si="4"/>
        <v>Dawadawa|39</v>
      </c>
    </row>
    <row r="81" spans="1:7" ht="16" customHeight="1" x14ac:dyDescent="0.2">
      <c r="A81" s="15" t="s">
        <v>13</v>
      </c>
      <c r="B81" s="2">
        <v>40</v>
      </c>
      <c r="C81" s="2">
        <v>48</v>
      </c>
      <c r="D81" s="2">
        <v>18</v>
      </c>
      <c r="E81" s="2">
        <v>0.6</v>
      </c>
      <c r="F81" s="16">
        <f t="shared" si="3"/>
        <v>1313.4681463643856</v>
      </c>
      <c r="G81" s="5" t="str">
        <f t="shared" si="4"/>
        <v>Dawadawa|40</v>
      </c>
    </row>
    <row r="82" spans="1:7" ht="16" customHeight="1" x14ac:dyDescent="0.2">
      <c r="A82" s="15" t="s">
        <v>15</v>
      </c>
      <c r="B82" s="2">
        <v>1</v>
      </c>
      <c r="C82" s="2">
        <v>3.673</v>
      </c>
      <c r="D82" s="2">
        <v>1.5189999999999999</v>
      </c>
      <c r="E82" s="2">
        <v>0.6</v>
      </c>
      <c r="F82" s="16">
        <f t="shared" ref="F82:F121" si="5">IF(C82&lt;=0,NA(),EXP(-2.43+2.51*LN(C82)))</f>
        <v>2.3060405465592209</v>
      </c>
      <c r="G82" s="5" t="str">
        <f t="shared" si="4"/>
        <v>Mango|1</v>
      </c>
    </row>
    <row r="83" spans="1:7" ht="16" customHeight="1" x14ac:dyDescent="0.2">
      <c r="A83" s="15" t="s">
        <v>15</v>
      </c>
      <c r="B83" s="2">
        <v>2</v>
      </c>
      <c r="C83" s="2">
        <v>4.26</v>
      </c>
      <c r="D83" s="2">
        <v>1.73</v>
      </c>
      <c r="E83" s="2">
        <v>0.6</v>
      </c>
      <c r="F83" s="16">
        <f t="shared" si="5"/>
        <v>3.3456653824075251</v>
      </c>
      <c r="G83" s="5" t="str">
        <f t="shared" si="4"/>
        <v>Mango|2</v>
      </c>
    </row>
    <row r="84" spans="1:7" ht="16" customHeight="1" x14ac:dyDescent="0.2">
      <c r="A84" s="15" t="s">
        <v>15</v>
      </c>
      <c r="B84" s="2">
        <v>3</v>
      </c>
      <c r="C84" s="2">
        <v>4.9349999999999996</v>
      </c>
      <c r="D84" s="2">
        <v>1.966</v>
      </c>
      <c r="E84" s="2">
        <v>0.6</v>
      </c>
      <c r="F84" s="16">
        <f t="shared" si="5"/>
        <v>4.8396635746482994</v>
      </c>
      <c r="G84" s="5" t="str">
        <f t="shared" si="4"/>
        <v>Mango|3</v>
      </c>
    </row>
    <row r="85" spans="1:7" ht="16" customHeight="1" x14ac:dyDescent="0.2">
      <c r="A85" s="15" t="s">
        <v>15</v>
      </c>
      <c r="B85" s="2">
        <v>4</v>
      </c>
      <c r="C85" s="2">
        <v>5.7080000000000002</v>
      </c>
      <c r="D85" s="2">
        <v>2.23</v>
      </c>
      <c r="E85" s="2">
        <v>0.6</v>
      </c>
      <c r="F85" s="16">
        <f t="shared" si="5"/>
        <v>6.9733130096108997</v>
      </c>
      <c r="G85" s="5" t="str">
        <f t="shared" si="4"/>
        <v>Mango|4</v>
      </c>
    </row>
    <row r="86" spans="1:7" ht="16" customHeight="1" x14ac:dyDescent="0.2">
      <c r="A86" s="15" t="s">
        <v>15</v>
      </c>
      <c r="B86" s="2">
        <v>5</v>
      </c>
      <c r="C86" s="2">
        <v>6.593</v>
      </c>
      <c r="D86" s="2">
        <v>2.5219999999999998</v>
      </c>
      <c r="E86" s="2">
        <v>0.6</v>
      </c>
      <c r="F86" s="16">
        <f t="shared" si="5"/>
        <v>10.012970325552732</v>
      </c>
      <c r="G86" s="5" t="str">
        <f t="shared" si="4"/>
        <v>Mango|5</v>
      </c>
    </row>
    <row r="87" spans="1:7" ht="16" customHeight="1" x14ac:dyDescent="0.2">
      <c r="A87" s="15" t="s">
        <v>15</v>
      </c>
      <c r="B87" s="2">
        <v>6</v>
      </c>
      <c r="C87" s="2">
        <v>7.6</v>
      </c>
      <c r="D87" s="2">
        <v>2.8450000000000002</v>
      </c>
      <c r="E87" s="2">
        <v>0.6</v>
      </c>
      <c r="F87" s="16">
        <f t="shared" si="5"/>
        <v>14.305614759162633</v>
      </c>
      <c r="G87" s="5" t="str">
        <f t="shared" si="4"/>
        <v>Mango|6</v>
      </c>
    </row>
    <row r="88" spans="1:7" ht="16" customHeight="1" x14ac:dyDescent="0.2">
      <c r="A88" s="15" t="s">
        <v>15</v>
      </c>
      <c r="B88" s="2">
        <v>7</v>
      </c>
      <c r="C88" s="2">
        <v>8.7420000000000009</v>
      </c>
      <c r="D88" s="2">
        <v>3.2</v>
      </c>
      <c r="E88" s="2">
        <v>0.6</v>
      </c>
      <c r="F88" s="16">
        <f t="shared" si="5"/>
        <v>20.328602430209767</v>
      </c>
      <c r="G88" s="5" t="str">
        <f t="shared" si="4"/>
        <v>Mango|7</v>
      </c>
    </row>
    <row r="89" spans="1:7" ht="16" customHeight="1" x14ac:dyDescent="0.2">
      <c r="A89" s="15" t="s">
        <v>15</v>
      </c>
      <c r="B89" s="2">
        <v>8</v>
      </c>
      <c r="C89" s="2">
        <v>10.032999999999999</v>
      </c>
      <c r="D89" s="2">
        <v>3.5859999999999999</v>
      </c>
      <c r="E89" s="2">
        <v>0.6</v>
      </c>
      <c r="F89" s="16">
        <f t="shared" si="5"/>
        <v>28.72471627662814</v>
      </c>
      <c r="G89" s="5" t="str">
        <f t="shared" si="4"/>
        <v>Mango|8</v>
      </c>
    </row>
    <row r="90" spans="1:7" ht="16" customHeight="1" x14ac:dyDescent="0.2">
      <c r="A90" s="15" t="s">
        <v>15</v>
      </c>
      <c r="B90" s="2">
        <v>9</v>
      </c>
      <c r="C90" s="2">
        <v>11.483000000000001</v>
      </c>
      <c r="D90" s="2">
        <v>4.0049999999999999</v>
      </c>
      <c r="E90" s="2">
        <v>0.6</v>
      </c>
      <c r="F90" s="16">
        <f t="shared" si="5"/>
        <v>40.309125349564937</v>
      </c>
      <c r="G90" s="5" t="str">
        <f t="shared" si="4"/>
        <v>Mango|9</v>
      </c>
    </row>
    <row r="91" spans="1:7" ht="16" customHeight="1" x14ac:dyDescent="0.2">
      <c r="A91" s="15" t="s">
        <v>15</v>
      </c>
      <c r="B91" s="2">
        <v>10</v>
      </c>
      <c r="C91" s="2">
        <v>13.103999999999999</v>
      </c>
      <c r="D91" s="2">
        <v>4.4550000000000001</v>
      </c>
      <c r="E91" s="2">
        <v>0.6</v>
      </c>
      <c r="F91" s="16">
        <f t="shared" si="5"/>
        <v>56.149792911513977</v>
      </c>
      <c r="G91" s="5" t="str">
        <f t="shared" si="4"/>
        <v>Mango|10</v>
      </c>
    </row>
    <row r="92" spans="1:7" ht="16" customHeight="1" x14ac:dyDescent="0.2">
      <c r="A92" s="15" t="s">
        <v>15</v>
      </c>
      <c r="B92" s="2">
        <v>11</v>
      </c>
      <c r="C92" s="2">
        <v>14.904</v>
      </c>
      <c r="D92" s="2">
        <v>4.9349999999999996</v>
      </c>
      <c r="E92" s="2">
        <v>0.6</v>
      </c>
      <c r="F92" s="16">
        <f t="shared" si="5"/>
        <v>77.562989934105659</v>
      </c>
      <c r="G92" s="5" t="str">
        <f t="shared" si="4"/>
        <v>Mango|11</v>
      </c>
    </row>
    <row r="93" spans="1:7" ht="16" customHeight="1" x14ac:dyDescent="0.2">
      <c r="A93" s="15" t="s">
        <v>15</v>
      </c>
      <c r="B93" s="2">
        <v>12</v>
      </c>
      <c r="C93" s="2">
        <v>16.888999999999999</v>
      </c>
      <c r="D93" s="2">
        <v>5.4420000000000002</v>
      </c>
      <c r="E93" s="2">
        <v>0.6</v>
      </c>
      <c r="F93" s="16">
        <f t="shared" si="5"/>
        <v>106.15740349508586</v>
      </c>
      <c r="G93" s="5" t="str">
        <f t="shared" si="4"/>
        <v>Mango|12</v>
      </c>
    </row>
    <row r="94" spans="1:7" ht="16" customHeight="1" x14ac:dyDescent="0.2">
      <c r="A94" s="15" t="s">
        <v>15</v>
      </c>
      <c r="B94" s="2">
        <v>13</v>
      </c>
      <c r="C94" s="2">
        <v>19.061</v>
      </c>
      <c r="D94" s="2">
        <v>5.9729999999999999</v>
      </c>
      <c r="E94" s="2">
        <v>0.6</v>
      </c>
      <c r="F94" s="16">
        <f t="shared" si="5"/>
        <v>143.82357150058354</v>
      </c>
      <c r="G94" s="5" t="str">
        <f t="shared" si="4"/>
        <v>Mango|13</v>
      </c>
    </row>
    <row r="95" spans="1:7" ht="16" customHeight="1" x14ac:dyDescent="0.2">
      <c r="A95" s="15" t="s">
        <v>15</v>
      </c>
      <c r="B95" s="2">
        <v>14</v>
      </c>
      <c r="C95" s="2">
        <v>21.417000000000002</v>
      </c>
      <c r="D95" s="2">
        <v>6.524</v>
      </c>
      <c r="E95" s="2">
        <v>0.6</v>
      </c>
      <c r="F95" s="16">
        <f t="shared" si="5"/>
        <v>192.69417525700186</v>
      </c>
      <c r="G95" s="5" t="str">
        <f t="shared" si="4"/>
        <v>Mango|14</v>
      </c>
    </row>
    <row r="96" spans="1:7" ht="16" customHeight="1" x14ac:dyDescent="0.2">
      <c r="A96" s="15" t="s">
        <v>15</v>
      </c>
      <c r="B96" s="2">
        <v>15</v>
      </c>
      <c r="C96" s="2">
        <v>23.95</v>
      </c>
      <c r="D96" s="2">
        <v>7.0890000000000004</v>
      </c>
      <c r="E96" s="2">
        <v>0.6</v>
      </c>
      <c r="F96" s="16">
        <f t="shared" si="5"/>
        <v>255.10634383759523</v>
      </c>
      <c r="G96" s="5" t="str">
        <f t="shared" si="4"/>
        <v>Mango|15</v>
      </c>
    </row>
    <row r="97" spans="1:7" ht="16" customHeight="1" x14ac:dyDescent="0.2">
      <c r="A97" s="15" t="s">
        <v>15</v>
      </c>
      <c r="B97" s="2">
        <v>16</v>
      </c>
      <c r="C97" s="2">
        <v>26.646000000000001</v>
      </c>
      <c r="D97" s="2">
        <v>7.6639999999999997</v>
      </c>
      <c r="E97" s="2">
        <v>0.6</v>
      </c>
      <c r="F97" s="16">
        <f t="shared" si="5"/>
        <v>333.42701782484397</v>
      </c>
      <c r="G97" s="5" t="str">
        <f t="shared" si="4"/>
        <v>Mango|16</v>
      </c>
    </row>
    <row r="98" spans="1:7" ht="16" customHeight="1" x14ac:dyDescent="0.2">
      <c r="A98" s="15" t="s">
        <v>15</v>
      </c>
      <c r="B98" s="2">
        <v>17</v>
      </c>
      <c r="C98" s="2">
        <v>29.486000000000001</v>
      </c>
      <c r="D98" s="2">
        <v>8.2430000000000003</v>
      </c>
      <c r="E98" s="2">
        <v>0.6</v>
      </c>
      <c r="F98" s="16">
        <f t="shared" si="5"/>
        <v>429.93244505121737</v>
      </c>
      <c r="G98" s="5" t="str">
        <f t="shared" ref="G98:G129" si="6">A98&amp;"|"&amp;B98</f>
        <v>Mango|17</v>
      </c>
    </row>
    <row r="99" spans="1:7" ht="16" customHeight="1" x14ac:dyDescent="0.2">
      <c r="A99" s="15" t="s">
        <v>15</v>
      </c>
      <c r="B99" s="2">
        <v>18</v>
      </c>
      <c r="C99" s="2">
        <v>32.445</v>
      </c>
      <c r="D99" s="2">
        <v>8.8190000000000008</v>
      </c>
      <c r="E99" s="2">
        <v>0.6</v>
      </c>
      <c r="F99" s="16">
        <f t="shared" si="5"/>
        <v>546.56942414391165</v>
      </c>
      <c r="G99" s="5" t="str">
        <f t="shared" si="6"/>
        <v>Mango|18</v>
      </c>
    </row>
    <row r="100" spans="1:7" ht="16" customHeight="1" x14ac:dyDescent="0.2">
      <c r="A100" s="15" t="s">
        <v>15</v>
      </c>
      <c r="B100" s="2">
        <v>19</v>
      </c>
      <c r="C100" s="2">
        <v>35.491999999999997</v>
      </c>
      <c r="D100" s="2">
        <v>9.3870000000000005</v>
      </c>
      <c r="E100" s="2">
        <v>0.6</v>
      </c>
      <c r="F100" s="16">
        <f t="shared" si="5"/>
        <v>684.68670633308022</v>
      </c>
      <c r="G100" s="5" t="str">
        <f t="shared" si="6"/>
        <v>Mango|19</v>
      </c>
    </row>
    <row r="101" spans="1:7" ht="16" customHeight="1" x14ac:dyDescent="0.2">
      <c r="A101" s="15" t="s">
        <v>15</v>
      </c>
      <c r="B101" s="2">
        <v>20</v>
      </c>
      <c r="C101" s="2">
        <v>38.593000000000004</v>
      </c>
      <c r="D101" s="2">
        <v>9.94</v>
      </c>
      <c r="E101" s="2">
        <v>0.6</v>
      </c>
      <c r="F101" s="16">
        <f t="shared" si="5"/>
        <v>844.89130953662857</v>
      </c>
      <c r="G101" s="5" t="str">
        <f t="shared" si="6"/>
        <v>Mango|20</v>
      </c>
    </row>
    <row r="102" spans="1:7" ht="16" customHeight="1" x14ac:dyDescent="0.2">
      <c r="A102" s="15" t="s">
        <v>15</v>
      </c>
      <c r="B102" s="2">
        <v>21</v>
      </c>
      <c r="C102" s="2">
        <v>41.710999999999999</v>
      </c>
      <c r="D102" s="2">
        <v>10.475</v>
      </c>
      <c r="E102" s="2">
        <v>0.6</v>
      </c>
      <c r="F102" s="16">
        <f t="shared" si="5"/>
        <v>1026.8178739726025</v>
      </c>
      <c r="G102" s="5" t="str">
        <f t="shared" si="6"/>
        <v>Mango|21</v>
      </c>
    </row>
    <row r="103" spans="1:7" ht="16" customHeight="1" x14ac:dyDescent="0.2">
      <c r="A103" s="15" t="s">
        <v>15</v>
      </c>
      <c r="B103" s="2">
        <v>22</v>
      </c>
      <c r="C103" s="2">
        <v>44.808</v>
      </c>
      <c r="D103" s="2">
        <v>10.986000000000001</v>
      </c>
      <c r="E103" s="2">
        <v>0.6</v>
      </c>
      <c r="F103" s="16">
        <f t="shared" si="5"/>
        <v>1229.0423946583369</v>
      </c>
      <c r="G103" s="5" t="str">
        <f t="shared" si="6"/>
        <v>Mango|22</v>
      </c>
    </row>
    <row r="104" spans="1:7" ht="16" customHeight="1" x14ac:dyDescent="0.2">
      <c r="A104" s="15" t="s">
        <v>15</v>
      </c>
      <c r="B104" s="2">
        <v>23</v>
      </c>
      <c r="C104" s="2">
        <v>47.847999999999999</v>
      </c>
      <c r="D104" s="2">
        <v>11.47</v>
      </c>
      <c r="E104" s="2">
        <v>0.6</v>
      </c>
      <c r="F104" s="16">
        <f t="shared" si="5"/>
        <v>1449.1806294442335</v>
      </c>
      <c r="G104" s="5" t="str">
        <f t="shared" si="6"/>
        <v>Mango|23</v>
      </c>
    </row>
    <row r="105" spans="1:7" ht="16" customHeight="1" x14ac:dyDescent="0.2">
      <c r="A105" s="15" t="s">
        <v>15</v>
      </c>
      <c r="B105" s="2">
        <v>24</v>
      </c>
      <c r="C105" s="2">
        <v>50.796999999999997</v>
      </c>
      <c r="D105" s="2">
        <v>11.925000000000001</v>
      </c>
      <c r="E105" s="2">
        <v>0.6</v>
      </c>
      <c r="F105" s="16">
        <f t="shared" si="5"/>
        <v>1683.9064100591331</v>
      </c>
      <c r="G105" s="5" t="str">
        <f t="shared" si="6"/>
        <v>Mango|24</v>
      </c>
    </row>
    <row r="106" spans="1:7" ht="16" customHeight="1" x14ac:dyDescent="0.2">
      <c r="A106" s="15" t="s">
        <v>15</v>
      </c>
      <c r="B106" s="2">
        <v>25</v>
      </c>
      <c r="C106" s="2">
        <v>53.624000000000002</v>
      </c>
      <c r="D106" s="2">
        <v>12.349</v>
      </c>
      <c r="E106" s="2">
        <v>0.6</v>
      </c>
      <c r="F106" s="16">
        <f t="shared" si="5"/>
        <v>1929.1056677732915</v>
      </c>
      <c r="G106" s="5" t="str">
        <f t="shared" si="6"/>
        <v>Mango|25</v>
      </c>
    </row>
    <row r="107" spans="1:7" ht="16" customHeight="1" x14ac:dyDescent="0.2">
      <c r="A107" s="15" t="s">
        <v>15</v>
      </c>
      <c r="B107" s="2">
        <v>26</v>
      </c>
      <c r="C107" s="2">
        <v>56.305</v>
      </c>
      <c r="D107" s="2">
        <v>12.741</v>
      </c>
      <c r="E107" s="2">
        <v>0.6</v>
      </c>
      <c r="F107" s="16">
        <f t="shared" si="5"/>
        <v>2180.4055842161506</v>
      </c>
      <c r="G107" s="5" t="str">
        <f t="shared" si="6"/>
        <v>Mango|26</v>
      </c>
    </row>
    <row r="108" spans="1:7" ht="16" customHeight="1" x14ac:dyDescent="0.2">
      <c r="A108" s="15" t="s">
        <v>15</v>
      </c>
      <c r="B108" s="2">
        <v>27</v>
      </c>
      <c r="C108" s="2">
        <v>58.820999999999998</v>
      </c>
      <c r="D108" s="2">
        <v>13.1</v>
      </c>
      <c r="E108" s="2">
        <v>0.6</v>
      </c>
      <c r="F108" s="16">
        <f t="shared" si="5"/>
        <v>2433.2724663907438</v>
      </c>
      <c r="G108" s="5" t="str">
        <f t="shared" si="6"/>
        <v>Mango|27</v>
      </c>
    </row>
    <row r="109" spans="1:7" ht="16" customHeight="1" x14ac:dyDescent="0.2">
      <c r="A109" s="15" t="s">
        <v>15</v>
      </c>
      <c r="B109" s="2">
        <v>28</v>
      </c>
      <c r="C109" s="2">
        <v>61.16</v>
      </c>
      <c r="D109" s="2">
        <v>13.428000000000001</v>
      </c>
      <c r="E109" s="2">
        <v>0.6</v>
      </c>
      <c r="F109" s="16">
        <f t="shared" si="5"/>
        <v>2683.4763714729393</v>
      </c>
      <c r="G109" s="5" t="str">
        <f t="shared" si="6"/>
        <v>Mango|28</v>
      </c>
    </row>
    <row r="110" spans="1:7" ht="16" customHeight="1" x14ac:dyDescent="0.2">
      <c r="A110" s="15" t="s">
        <v>15</v>
      </c>
      <c r="B110" s="2">
        <v>29</v>
      </c>
      <c r="C110" s="2">
        <v>63.313000000000002</v>
      </c>
      <c r="D110" s="2">
        <v>13.725</v>
      </c>
      <c r="E110" s="2">
        <v>0.6</v>
      </c>
      <c r="F110" s="16">
        <f t="shared" si="5"/>
        <v>2926.9248308698093</v>
      </c>
      <c r="G110" s="5" t="str">
        <f t="shared" si="6"/>
        <v>Mango|29</v>
      </c>
    </row>
    <row r="111" spans="1:7" ht="16" customHeight="1" x14ac:dyDescent="0.2">
      <c r="A111" s="15" t="s">
        <v>15</v>
      </c>
      <c r="B111" s="2">
        <v>30</v>
      </c>
      <c r="C111" s="2">
        <v>65.28</v>
      </c>
      <c r="D111" s="2">
        <v>13.993</v>
      </c>
      <c r="E111" s="2">
        <v>0.6</v>
      </c>
      <c r="F111" s="16">
        <f t="shared" si="5"/>
        <v>3160.5493415859814</v>
      </c>
      <c r="G111" s="5" t="str">
        <f t="shared" si="6"/>
        <v>Mango|30</v>
      </c>
    </row>
    <row r="112" spans="1:7" ht="16" customHeight="1" x14ac:dyDescent="0.2">
      <c r="A112" s="15" t="s">
        <v>15</v>
      </c>
      <c r="B112" s="2">
        <v>31</v>
      </c>
      <c r="C112" s="2">
        <v>67.061999999999998</v>
      </c>
      <c r="D112" s="2">
        <v>14.234</v>
      </c>
      <c r="E112" s="2">
        <v>0.6</v>
      </c>
      <c r="F112" s="16">
        <f t="shared" si="5"/>
        <v>3381.5859257172915</v>
      </c>
      <c r="G112" s="5" t="str">
        <f t="shared" si="6"/>
        <v>Mango|31</v>
      </c>
    </row>
    <row r="113" spans="1:7" ht="16" customHeight="1" x14ac:dyDescent="0.2">
      <c r="A113" s="15" t="s">
        <v>15</v>
      </c>
      <c r="B113" s="2">
        <v>32</v>
      </c>
      <c r="C113" s="2">
        <v>68.665999999999997</v>
      </c>
      <c r="D113" s="2">
        <v>14.449</v>
      </c>
      <c r="E113" s="2">
        <v>0.6</v>
      </c>
      <c r="F113" s="16">
        <f t="shared" si="5"/>
        <v>3588.2789666348785</v>
      </c>
      <c r="G113" s="5" t="str">
        <f t="shared" si="6"/>
        <v>Mango|32</v>
      </c>
    </row>
    <row r="114" spans="1:7" ht="16" customHeight="1" x14ac:dyDescent="0.2">
      <c r="A114" s="15" t="s">
        <v>15</v>
      </c>
      <c r="B114" s="2">
        <v>33</v>
      </c>
      <c r="C114" s="2">
        <v>70.099999999999994</v>
      </c>
      <c r="D114" s="2">
        <v>14.64</v>
      </c>
      <c r="E114" s="2">
        <v>0.6</v>
      </c>
      <c r="F114" s="16">
        <f t="shared" si="5"/>
        <v>3779.3458309503148</v>
      </c>
      <c r="G114" s="5" t="str">
        <f t="shared" si="6"/>
        <v>Mango|33</v>
      </c>
    </row>
    <row r="115" spans="1:7" ht="16" customHeight="1" x14ac:dyDescent="0.2">
      <c r="A115" s="15" t="s">
        <v>15</v>
      </c>
      <c r="B115" s="2">
        <v>34</v>
      </c>
      <c r="C115" s="2">
        <v>71.376000000000005</v>
      </c>
      <c r="D115" s="2">
        <v>14.81</v>
      </c>
      <c r="E115" s="2">
        <v>0.6</v>
      </c>
      <c r="F115" s="16">
        <f t="shared" si="5"/>
        <v>3954.3986189492948</v>
      </c>
      <c r="G115" s="5" t="str">
        <f t="shared" si="6"/>
        <v>Mango|34</v>
      </c>
    </row>
    <row r="116" spans="1:7" ht="16" customHeight="1" x14ac:dyDescent="0.2">
      <c r="A116" s="15" t="s">
        <v>15</v>
      </c>
      <c r="B116" s="2">
        <v>35</v>
      </c>
      <c r="C116" s="2">
        <v>72.504999999999995</v>
      </c>
      <c r="D116" s="2">
        <v>14.96</v>
      </c>
      <c r="E116" s="2">
        <v>0.6</v>
      </c>
      <c r="F116" s="16">
        <f t="shared" si="5"/>
        <v>4113.2772235648144</v>
      </c>
      <c r="G116" s="5" t="str">
        <f t="shared" si="6"/>
        <v>Mango|35</v>
      </c>
    </row>
    <row r="117" spans="1:7" ht="16" customHeight="1" x14ac:dyDescent="0.2">
      <c r="A117" s="15" t="s">
        <v>15</v>
      </c>
      <c r="B117" s="2">
        <v>36</v>
      </c>
      <c r="C117" s="2">
        <v>73.498999999999995</v>
      </c>
      <c r="D117" s="2">
        <v>15.092000000000001</v>
      </c>
      <c r="E117" s="2">
        <v>0.6</v>
      </c>
      <c r="F117" s="16">
        <f t="shared" si="5"/>
        <v>4256.2859646947682</v>
      </c>
      <c r="G117" s="5" t="str">
        <f t="shared" si="6"/>
        <v>Mango|36</v>
      </c>
    </row>
    <row r="118" spans="1:7" ht="16" customHeight="1" x14ac:dyDescent="0.2">
      <c r="A118" s="15" t="s">
        <v>15</v>
      </c>
      <c r="B118" s="2">
        <v>37</v>
      </c>
      <c r="C118" s="2">
        <v>74.372</v>
      </c>
      <c r="D118" s="2">
        <v>15.208</v>
      </c>
      <c r="E118" s="2">
        <v>0.6</v>
      </c>
      <c r="F118" s="16">
        <f t="shared" si="5"/>
        <v>4384.3190963872512</v>
      </c>
      <c r="G118" s="5" t="str">
        <f t="shared" si="6"/>
        <v>Mango|37</v>
      </c>
    </row>
    <row r="119" spans="1:7" ht="16" customHeight="1" x14ac:dyDescent="0.2">
      <c r="A119" s="15" t="s">
        <v>15</v>
      </c>
      <c r="B119" s="2">
        <v>38</v>
      </c>
      <c r="C119" s="2">
        <v>75.135000000000005</v>
      </c>
      <c r="D119" s="2">
        <v>15.31</v>
      </c>
      <c r="E119" s="2">
        <v>0.6</v>
      </c>
      <c r="F119" s="16">
        <f t="shared" si="5"/>
        <v>4498.094329130663</v>
      </c>
      <c r="G119" s="5" t="str">
        <f t="shared" si="6"/>
        <v>Mango|38</v>
      </c>
    </row>
    <row r="120" spans="1:7" ht="16" customHeight="1" x14ac:dyDescent="0.2">
      <c r="A120" s="15" t="s">
        <v>15</v>
      </c>
      <c r="B120" s="2">
        <v>39</v>
      </c>
      <c r="C120" s="2">
        <v>75.801000000000002</v>
      </c>
      <c r="D120" s="2">
        <v>15.4</v>
      </c>
      <c r="E120" s="2">
        <v>0.6</v>
      </c>
      <c r="F120" s="16">
        <f t="shared" si="5"/>
        <v>4598.842074180242</v>
      </c>
      <c r="G120" s="5" t="str">
        <f t="shared" si="6"/>
        <v>Mango|39</v>
      </c>
    </row>
    <row r="121" spans="1:7" ht="16" customHeight="1" x14ac:dyDescent="0.2">
      <c r="A121" s="15" t="s">
        <v>15</v>
      </c>
      <c r="B121" s="2">
        <v>40</v>
      </c>
      <c r="C121" s="2">
        <v>76.38</v>
      </c>
      <c r="D121" s="2">
        <v>15.478</v>
      </c>
      <c r="E121" s="2">
        <v>0.6</v>
      </c>
      <c r="F121" s="16">
        <f t="shared" si="5"/>
        <v>4687.5222330186652</v>
      </c>
      <c r="G121" s="5" t="str">
        <f t="shared" si="6"/>
        <v>Mango|40</v>
      </c>
    </row>
    <row r="122" spans="1:7" ht="16" customHeight="1" x14ac:dyDescent="0.2">
      <c r="A122" s="15" t="s">
        <v>17</v>
      </c>
      <c r="B122" s="2">
        <v>1</v>
      </c>
      <c r="C122" s="2">
        <v>1.5</v>
      </c>
      <c r="D122" s="2">
        <v>2</v>
      </c>
      <c r="E122" s="2">
        <v>0.25</v>
      </c>
      <c r="F122" s="16">
        <f t="shared" ref="F122:F161" si="7">IF(OR(E122="",C122="",D122=""),NA(),0.0673*POWER(E122*POWER(C122,2)*D122,0.976))</f>
        <v>7.549877866120186E-2</v>
      </c>
      <c r="G122" s="5" t="str">
        <f t="shared" si="6"/>
        <v>Moringa|1</v>
      </c>
    </row>
    <row r="123" spans="1:7" ht="16" customHeight="1" x14ac:dyDescent="0.2">
      <c r="A123" s="15" t="s">
        <v>17</v>
      </c>
      <c r="B123" s="2">
        <v>2</v>
      </c>
      <c r="C123" s="2">
        <v>2.601</v>
      </c>
      <c r="D123" s="2">
        <v>3.101</v>
      </c>
      <c r="E123" s="2">
        <v>0.25</v>
      </c>
      <c r="F123" s="16">
        <f t="shared" si="7"/>
        <v>0.33920652987248745</v>
      </c>
      <c r="G123" s="5" t="str">
        <f t="shared" si="6"/>
        <v>Moringa|2</v>
      </c>
    </row>
    <row r="124" spans="1:7" ht="16" customHeight="1" x14ac:dyDescent="0.2">
      <c r="A124" s="15" t="s">
        <v>17</v>
      </c>
      <c r="B124" s="2">
        <v>3</v>
      </c>
      <c r="C124" s="2">
        <v>4.4480000000000004</v>
      </c>
      <c r="D124" s="2">
        <v>4.367</v>
      </c>
      <c r="E124" s="2">
        <v>0.25</v>
      </c>
      <c r="F124" s="16">
        <f t="shared" si="7"/>
        <v>1.3503332317092422</v>
      </c>
      <c r="G124" s="5" t="str">
        <f t="shared" si="6"/>
        <v>Moringa|3</v>
      </c>
    </row>
    <row r="125" spans="1:7" ht="16" customHeight="1" x14ac:dyDescent="0.2">
      <c r="A125" s="15" t="s">
        <v>17</v>
      </c>
      <c r="B125" s="2">
        <v>4</v>
      </c>
      <c r="C125" s="2">
        <v>7.4370000000000003</v>
      </c>
      <c r="D125" s="2">
        <v>5.5629999999999997</v>
      </c>
      <c r="E125" s="2">
        <v>0.25</v>
      </c>
      <c r="F125" s="16">
        <f t="shared" si="7"/>
        <v>4.6643875196594315</v>
      </c>
      <c r="G125" s="5" t="str">
        <f t="shared" si="6"/>
        <v>Moringa|4</v>
      </c>
    </row>
    <row r="126" spans="1:7" ht="16" customHeight="1" x14ac:dyDescent="0.2">
      <c r="A126" s="15" t="s">
        <v>17</v>
      </c>
      <c r="B126" s="2">
        <v>5</v>
      </c>
      <c r="C126" s="2">
        <v>12</v>
      </c>
      <c r="D126" s="2">
        <v>6.5</v>
      </c>
      <c r="E126" s="2">
        <v>0.25</v>
      </c>
      <c r="F126" s="16">
        <f t="shared" si="7"/>
        <v>13.815599692909332</v>
      </c>
      <c r="G126" s="5" t="str">
        <f t="shared" si="6"/>
        <v>Moringa|5</v>
      </c>
    </row>
    <row r="127" spans="1:7" ht="16" customHeight="1" x14ac:dyDescent="0.2">
      <c r="A127" s="15" t="s">
        <v>17</v>
      </c>
      <c r="B127" s="2">
        <v>6</v>
      </c>
      <c r="C127" s="2">
        <v>18.384</v>
      </c>
      <c r="D127" s="2">
        <v>7.133</v>
      </c>
      <c r="E127" s="2">
        <v>0.25</v>
      </c>
      <c r="F127" s="16">
        <f t="shared" si="7"/>
        <v>34.784447168350596</v>
      </c>
      <c r="G127" s="5" t="str">
        <f t="shared" si="6"/>
        <v>Moringa|6</v>
      </c>
    </row>
    <row r="128" spans="1:7" ht="16" customHeight="1" x14ac:dyDescent="0.2">
      <c r="A128" s="15" t="s">
        <v>17</v>
      </c>
      <c r="B128" s="2">
        <v>7</v>
      </c>
      <c r="C128" s="2">
        <v>26.303999999999998</v>
      </c>
      <c r="D128" s="2">
        <v>7.5190000000000001</v>
      </c>
      <c r="E128" s="2">
        <v>0.25</v>
      </c>
      <c r="F128" s="16">
        <f t="shared" si="7"/>
        <v>73.691823117913003</v>
      </c>
      <c r="G128" s="5" t="str">
        <f t="shared" si="6"/>
        <v>Moringa|7</v>
      </c>
    </row>
    <row r="129" spans="1:7" ht="16" customHeight="1" x14ac:dyDescent="0.2">
      <c r="A129" s="15" t="s">
        <v>17</v>
      </c>
      <c r="B129" s="2">
        <v>8</v>
      </c>
      <c r="C129" s="2">
        <v>34.783999999999999</v>
      </c>
      <c r="D129" s="2">
        <v>7.7389999999999999</v>
      </c>
      <c r="E129" s="2">
        <v>0.25</v>
      </c>
      <c r="F129" s="16">
        <f t="shared" si="7"/>
        <v>130.77771675758868</v>
      </c>
      <c r="G129" s="5" t="str">
        <f t="shared" si="6"/>
        <v>Moringa|8</v>
      </c>
    </row>
    <row r="130" spans="1:7" ht="16" customHeight="1" x14ac:dyDescent="0.2">
      <c r="A130" s="15" t="s">
        <v>17</v>
      </c>
      <c r="B130" s="2">
        <v>9</v>
      </c>
      <c r="C130" s="2">
        <v>42.545000000000002</v>
      </c>
      <c r="D130" s="2">
        <v>7.86</v>
      </c>
      <c r="E130" s="2">
        <v>0.25</v>
      </c>
      <c r="F130" s="16">
        <f t="shared" si="7"/>
        <v>196.72033000017998</v>
      </c>
      <c r="G130" s="5" t="str">
        <f t="shared" ref="G130:G161" si="8">A130&amp;"|"&amp;B130</f>
        <v>Moringa|9</v>
      </c>
    </row>
    <row r="131" spans="1:7" ht="16" customHeight="1" x14ac:dyDescent="0.2">
      <c r="A131" s="15" t="s">
        <v>17</v>
      </c>
      <c r="B131" s="2">
        <v>10</v>
      </c>
      <c r="C131" s="2">
        <v>48.695</v>
      </c>
      <c r="D131" s="2">
        <v>7.9260000000000002</v>
      </c>
      <c r="E131" s="2">
        <v>0.25</v>
      </c>
      <c r="F131" s="16">
        <f t="shared" si="7"/>
        <v>258.13730618602864</v>
      </c>
      <c r="G131" s="5" t="str">
        <f t="shared" si="8"/>
        <v>Moringa|10</v>
      </c>
    </row>
    <row r="132" spans="1:7" ht="16" customHeight="1" x14ac:dyDescent="0.2">
      <c r="A132" s="15" t="s">
        <v>17</v>
      </c>
      <c r="B132" s="2">
        <v>11</v>
      </c>
      <c r="C132" s="2">
        <v>53.031999999999996</v>
      </c>
      <c r="D132" s="2">
        <v>7.9610000000000003</v>
      </c>
      <c r="E132" s="2">
        <v>0.25</v>
      </c>
      <c r="F132" s="16">
        <f t="shared" si="7"/>
        <v>306.22955366292587</v>
      </c>
      <c r="G132" s="5" t="str">
        <f t="shared" si="8"/>
        <v>Moringa|11</v>
      </c>
    </row>
    <row r="133" spans="1:7" ht="16" customHeight="1" x14ac:dyDescent="0.2">
      <c r="A133" s="15" t="s">
        <v>17</v>
      </c>
      <c r="B133" s="2">
        <v>12</v>
      </c>
      <c r="C133" s="2">
        <v>55.847999999999999</v>
      </c>
      <c r="D133" s="2">
        <v>7.9790000000000001</v>
      </c>
      <c r="E133" s="2">
        <v>0.25</v>
      </c>
      <c r="F133" s="16">
        <f t="shared" si="7"/>
        <v>339.51979390475486</v>
      </c>
      <c r="G133" s="5" t="str">
        <f t="shared" si="8"/>
        <v>Moringa|12</v>
      </c>
    </row>
    <row r="134" spans="1:7" ht="16" customHeight="1" x14ac:dyDescent="0.2">
      <c r="A134" s="15" t="s">
        <v>17</v>
      </c>
      <c r="B134" s="2">
        <v>13</v>
      </c>
      <c r="C134" s="2">
        <v>57.576999999999998</v>
      </c>
      <c r="D134" s="2">
        <v>7.9889999999999999</v>
      </c>
      <c r="E134" s="2">
        <v>0.25</v>
      </c>
      <c r="F134" s="16">
        <f t="shared" si="7"/>
        <v>360.78064225888249</v>
      </c>
      <c r="G134" s="5" t="str">
        <f t="shared" si="8"/>
        <v>Moringa|13</v>
      </c>
    </row>
    <row r="135" spans="1:7" ht="16" customHeight="1" x14ac:dyDescent="0.2">
      <c r="A135" s="15" t="s">
        <v>17</v>
      </c>
      <c r="B135" s="2">
        <v>14</v>
      </c>
      <c r="C135" s="2">
        <v>58.603999999999999</v>
      </c>
      <c r="D135" s="2">
        <v>7.9939999999999998</v>
      </c>
      <c r="E135" s="2">
        <v>0.25</v>
      </c>
      <c r="F135" s="16">
        <f t="shared" si="7"/>
        <v>373.67696594271729</v>
      </c>
      <c r="G135" s="5" t="str">
        <f t="shared" si="8"/>
        <v>Moringa|14</v>
      </c>
    </row>
    <row r="136" spans="1:7" ht="16" customHeight="1" x14ac:dyDescent="0.2">
      <c r="A136" s="15" t="s">
        <v>17</v>
      </c>
      <c r="B136" s="2">
        <v>15</v>
      </c>
      <c r="C136" s="2">
        <v>59.201999999999998</v>
      </c>
      <c r="D136" s="2">
        <v>7.9969999999999999</v>
      </c>
      <c r="E136" s="2">
        <v>0.25</v>
      </c>
      <c r="F136" s="16">
        <f t="shared" si="7"/>
        <v>381.29575424455152</v>
      </c>
      <c r="G136" s="5" t="str">
        <f t="shared" si="8"/>
        <v>Moringa|15</v>
      </c>
    </row>
    <row r="137" spans="1:7" ht="16" customHeight="1" x14ac:dyDescent="0.2">
      <c r="A137" s="15" t="s">
        <v>17</v>
      </c>
      <c r="B137" s="2">
        <v>16</v>
      </c>
      <c r="C137" s="2">
        <v>59.545999999999999</v>
      </c>
      <c r="D137" s="2">
        <v>7.9980000000000002</v>
      </c>
      <c r="E137" s="2">
        <v>0.25</v>
      </c>
      <c r="F137" s="16">
        <f t="shared" si="7"/>
        <v>385.67955785065681</v>
      </c>
      <c r="G137" s="5" t="str">
        <f t="shared" si="8"/>
        <v>Moringa|16</v>
      </c>
    </row>
    <row r="138" spans="1:7" ht="16" customHeight="1" x14ac:dyDescent="0.2">
      <c r="A138" s="15" t="s">
        <v>17</v>
      </c>
      <c r="B138" s="2">
        <v>17</v>
      </c>
      <c r="C138" s="2">
        <v>59.741999999999997</v>
      </c>
      <c r="D138" s="2">
        <v>7.9989999999999997</v>
      </c>
      <c r="E138" s="2">
        <v>0.25</v>
      </c>
      <c r="F138" s="16">
        <f t="shared" si="7"/>
        <v>388.20885682660997</v>
      </c>
      <c r="G138" s="5" t="str">
        <f t="shared" si="8"/>
        <v>Moringa|17</v>
      </c>
    </row>
    <row r="139" spans="1:7" ht="16" customHeight="1" x14ac:dyDescent="0.2">
      <c r="A139" s="15" t="s">
        <v>17</v>
      </c>
      <c r="B139" s="2">
        <v>18</v>
      </c>
      <c r="C139" s="2">
        <v>59.853999999999999</v>
      </c>
      <c r="D139" s="2">
        <v>8</v>
      </c>
      <c r="E139" s="2">
        <v>0.25</v>
      </c>
      <c r="F139" s="16">
        <f t="shared" si="7"/>
        <v>389.67830364529527</v>
      </c>
      <c r="G139" s="5" t="str">
        <f t="shared" si="8"/>
        <v>Moringa|18</v>
      </c>
    </row>
    <row r="140" spans="1:7" ht="16" customHeight="1" x14ac:dyDescent="0.2">
      <c r="A140" s="15" t="s">
        <v>17</v>
      </c>
      <c r="B140" s="2">
        <v>19</v>
      </c>
      <c r="C140" s="2">
        <v>59.917000000000002</v>
      </c>
      <c r="D140" s="2">
        <v>8</v>
      </c>
      <c r="E140" s="2">
        <v>0.25</v>
      </c>
      <c r="F140" s="16">
        <f t="shared" si="7"/>
        <v>390.47933762870491</v>
      </c>
      <c r="G140" s="5" t="str">
        <f t="shared" si="8"/>
        <v>Moringa|19</v>
      </c>
    </row>
    <row r="141" spans="1:7" ht="16" customHeight="1" x14ac:dyDescent="0.2">
      <c r="A141" s="15" t="s">
        <v>17</v>
      </c>
      <c r="B141" s="2">
        <v>20</v>
      </c>
      <c r="C141" s="2">
        <v>59.953000000000003</v>
      </c>
      <c r="D141" s="2">
        <v>8</v>
      </c>
      <c r="E141" s="2">
        <v>0.25</v>
      </c>
      <c r="F141" s="16">
        <f t="shared" si="7"/>
        <v>390.9374315184354</v>
      </c>
      <c r="G141" s="5" t="str">
        <f t="shared" si="8"/>
        <v>Moringa|20</v>
      </c>
    </row>
    <row r="142" spans="1:7" ht="16" customHeight="1" x14ac:dyDescent="0.2">
      <c r="A142" s="15" t="s">
        <v>17</v>
      </c>
      <c r="B142" s="2">
        <v>21</v>
      </c>
      <c r="C142" s="2">
        <v>59.972999999999999</v>
      </c>
      <c r="D142" s="2">
        <v>8</v>
      </c>
      <c r="E142" s="2">
        <v>0.25</v>
      </c>
      <c r="F142" s="16">
        <f t="shared" si="7"/>
        <v>391.19204130967006</v>
      </c>
      <c r="G142" s="5" t="str">
        <f t="shared" si="8"/>
        <v>Moringa|21</v>
      </c>
    </row>
    <row r="143" spans="1:7" ht="16" customHeight="1" x14ac:dyDescent="0.2">
      <c r="A143" s="15" t="s">
        <v>17</v>
      </c>
      <c r="B143" s="2">
        <v>22</v>
      </c>
      <c r="C143" s="2">
        <v>59.984999999999999</v>
      </c>
      <c r="D143" s="2">
        <v>8</v>
      </c>
      <c r="E143" s="2">
        <v>0.25</v>
      </c>
      <c r="F143" s="16">
        <f t="shared" si="7"/>
        <v>391.34484599027689</v>
      </c>
      <c r="G143" s="5" t="str">
        <f t="shared" si="8"/>
        <v>Moringa|22</v>
      </c>
    </row>
    <row r="144" spans="1:7" ht="16" customHeight="1" x14ac:dyDescent="0.2">
      <c r="A144" s="15" t="s">
        <v>17</v>
      </c>
      <c r="B144" s="2">
        <v>23</v>
      </c>
      <c r="C144" s="2">
        <v>59.991</v>
      </c>
      <c r="D144" s="2">
        <v>8</v>
      </c>
      <c r="E144" s="2">
        <v>0.25</v>
      </c>
      <c r="F144" s="16">
        <f t="shared" si="7"/>
        <v>391.42125924462033</v>
      </c>
      <c r="G144" s="5" t="str">
        <f t="shared" si="8"/>
        <v>Moringa|23</v>
      </c>
    </row>
    <row r="145" spans="1:7" ht="16" customHeight="1" x14ac:dyDescent="0.2">
      <c r="A145" s="15" t="s">
        <v>17</v>
      </c>
      <c r="B145" s="2">
        <v>24</v>
      </c>
      <c r="C145" s="2">
        <v>59.994999999999997</v>
      </c>
      <c r="D145" s="2">
        <v>8</v>
      </c>
      <c r="E145" s="2">
        <v>0.25</v>
      </c>
      <c r="F145" s="16">
        <f t="shared" si="7"/>
        <v>391.47220545639505</v>
      </c>
      <c r="G145" s="5" t="str">
        <f t="shared" si="8"/>
        <v>Moringa|24</v>
      </c>
    </row>
    <row r="146" spans="1:7" ht="16" customHeight="1" x14ac:dyDescent="0.2">
      <c r="A146" s="15" t="s">
        <v>17</v>
      </c>
      <c r="B146" s="2">
        <v>25</v>
      </c>
      <c r="C146" s="2">
        <v>59.997</v>
      </c>
      <c r="D146" s="2">
        <v>8</v>
      </c>
      <c r="E146" s="2">
        <v>0.25</v>
      </c>
      <c r="F146" s="16">
        <f t="shared" si="7"/>
        <v>391.49767977494236</v>
      </c>
      <c r="G146" s="5" t="str">
        <f t="shared" si="8"/>
        <v>Moringa|25</v>
      </c>
    </row>
    <row r="147" spans="1:7" ht="16" customHeight="1" x14ac:dyDescent="0.2">
      <c r="A147" s="15" t="s">
        <v>17</v>
      </c>
      <c r="B147" s="2">
        <v>26</v>
      </c>
      <c r="C147" s="2">
        <v>59.997999999999998</v>
      </c>
      <c r="D147" s="2">
        <v>8</v>
      </c>
      <c r="E147" s="2">
        <v>0.25</v>
      </c>
      <c r="F147" s="16">
        <f t="shared" si="7"/>
        <v>391.51041723738064</v>
      </c>
      <c r="G147" s="5" t="str">
        <f t="shared" si="8"/>
        <v>Moringa|26</v>
      </c>
    </row>
    <row r="148" spans="1:7" ht="16" customHeight="1" x14ac:dyDescent="0.2">
      <c r="A148" s="15" t="s">
        <v>17</v>
      </c>
      <c r="B148" s="2">
        <v>27</v>
      </c>
      <c r="C148" s="2">
        <v>59.999000000000002</v>
      </c>
      <c r="D148" s="2">
        <v>8</v>
      </c>
      <c r="E148" s="2">
        <v>0.25</v>
      </c>
      <c r="F148" s="16">
        <f t="shared" si="7"/>
        <v>391.52315490192791</v>
      </c>
      <c r="G148" s="5" t="str">
        <f t="shared" si="8"/>
        <v>Moringa|27</v>
      </c>
    </row>
    <row r="149" spans="1:7" ht="16" customHeight="1" x14ac:dyDescent="0.2">
      <c r="A149" s="15" t="s">
        <v>17</v>
      </c>
      <c r="B149" s="2">
        <v>28</v>
      </c>
      <c r="C149" s="2">
        <v>60</v>
      </c>
      <c r="D149" s="2">
        <v>8</v>
      </c>
      <c r="E149" s="2">
        <v>0.25</v>
      </c>
      <c r="F149" s="16">
        <f t="shared" si="7"/>
        <v>391.5358927685852</v>
      </c>
      <c r="G149" s="5" t="str">
        <f t="shared" si="8"/>
        <v>Moringa|28</v>
      </c>
    </row>
    <row r="150" spans="1:7" ht="16" customHeight="1" x14ac:dyDescent="0.2">
      <c r="A150" s="15" t="s">
        <v>17</v>
      </c>
      <c r="B150" s="2">
        <v>29</v>
      </c>
      <c r="C150" s="2">
        <v>60</v>
      </c>
      <c r="D150" s="2">
        <v>8</v>
      </c>
      <c r="E150" s="2">
        <v>0.25</v>
      </c>
      <c r="F150" s="16">
        <f t="shared" si="7"/>
        <v>391.5358927685852</v>
      </c>
      <c r="G150" s="5" t="str">
        <f t="shared" si="8"/>
        <v>Moringa|29</v>
      </c>
    </row>
    <row r="151" spans="1:7" ht="16" customHeight="1" x14ac:dyDescent="0.2">
      <c r="A151" s="15" t="s">
        <v>17</v>
      </c>
      <c r="B151" s="2">
        <v>30</v>
      </c>
      <c r="C151" s="2">
        <v>60</v>
      </c>
      <c r="D151" s="2">
        <v>8</v>
      </c>
      <c r="E151" s="2">
        <v>0.25</v>
      </c>
      <c r="F151" s="16">
        <f t="shared" si="7"/>
        <v>391.5358927685852</v>
      </c>
      <c r="G151" s="5" t="str">
        <f t="shared" si="8"/>
        <v>Moringa|30</v>
      </c>
    </row>
    <row r="152" spans="1:7" ht="16" customHeight="1" x14ac:dyDescent="0.2">
      <c r="A152" s="15" t="s">
        <v>17</v>
      </c>
      <c r="B152" s="2">
        <v>31</v>
      </c>
      <c r="C152" s="2">
        <v>60</v>
      </c>
      <c r="D152" s="2">
        <v>8</v>
      </c>
      <c r="E152" s="2">
        <v>0.25</v>
      </c>
      <c r="F152" s="16">
        <f t="shared" si="7"/>
        <v>391.5358927685852</v>
      </c>
      <c r="G152" s="5" t="str">
        <f t="shared" si="8"/>
        <v>Moringa|31</v>
      </c>
    </row>
    <row r="153" spans="1:7" ht="16" customHeight="1" x14ac:dyDescent="0.2">
      <c r="A153" s="15" t="s">
        <v>17</v>
      </c>
      <c r="B153" s="2">
        <v>32</v>
      </c>
      <c r="C153" s="2">
        <v>60</v>
      </c>
      <c r="D153" s="2">
        <v>8</v>
      </c>
      <c r="E153" s="2">
        <v>0.25</v>
      </c>
      <c r="F153" s="16">
        <f t="shared" si="7"/>
        <v>391.5358927685852</v>
      </c>
      <c r="G153" s="5" t="str">
        <f t="shared" si="8"/>
        <v>Moringa|32</v>
      </c>
    </row>
    <row r="154" spans="1:7" ht="16" customHeight="1" x14ac:dyDescent="0.2">
      <c r="A154" s="15" t="s">
        <v>17</v>
      </c>
      <c r="B154" s="2">
        <v>33</v>
      </c>
      <c r="C154" s="2">
        <v>60</v>
      </c>
      <c r="D154" s="2">
        <v>8</v>
      </c>
      <c r="E154" s="2">
        <v>0.25</v>
      </c>
      <c r="F154" s="16">
        <f t="shared" si="7"/>
        <v>391.5358927685852</v>
      </c>
      <c r="G154" s="5" t="str">
        <f t="shared" si="8"/>
        <v>Moringa|33</v>
      </c>
    </row>
    <row r="155" spans="1:7" ht="16" customHeight="1" x14ac:dyDescent="0.2">
      <c r="A155" s="15" t="s">
        <v>17</v>
      </c>
      <c r="B155" s="2">
        <v>34</v>
      </c>
      <c r="C155" s="2">
        <v>60</v>
      </c>
      <c r="D155" s="2">
        <v>8</v>
      </c>
      <c r="E155" s="2">
        <v>0.25</v>
      </c>
      <c r="F155" s="16">
        <f t="shared" si="7"/>
        <v>391.5358927685852</v>
      </c>
      <c r="G155" s="5" t="str">
        <f t="shared" si="8"/>
        <v>Moringa|34</v>
      </c>
    </row>
    <row r="156" spans="1:7" ht="16" customHeight="1" x14ac:dyDescent="0.2">
      <c r="A156" s="15" t="s">
        <v>17</v>
      </c>
      <c r="B156" s="2">
        <v>35</v>
      </c>
      <c r="C156" s="2">
        <v>60</v>
      </c>
      <c r="D156" s="2">
        <v>8</v>
      </c>
      <c r="E156" s="2">
        <v>0.25</v>
      </c>
      <c r="F156" s="16">
        <f t="shared" si="7"/>
        <v>391.5358927685852</v>
      </c>
      <c r="G156" s="5" t="str">
        <f t="shared" si="8"/>
        <v>Moringa|35</v>
      </c>
    </row>
    <row r="157" spans="1:7" ht="16" customHeight="1" x14ac:dyDescent="0.2">
      <c r="A157" s="15" t="s">
        <v>17</v>
      </c>
      <c r="B157" s="2">
        <v>36</v>
      </c>
      <c r="C157" s="2">
        <v>60</v>
      </c>
      <c r="D157" s="2">
        <v>8</v>
      </c>
      <c r="E157" s="2">
        <v>0.25</v>
      </c>
      <c r="F157" s="16">
        <f t="shared" si="7"/>
        <v>391.5358927685852</v>
      </c>
      <c r="G157" s="5" t="str">
        <f t="shared" si="8"/>
        <v>Moringa|36</v>
      </c>
    </row>
    <row r="158" spans="1:7" ht="16" customHeight="1" x14ac:dyDescent="0.2">
      <c r="A158" s="15" t="s">
        <v>17</v>
      </c>
      <c r="B158" s="2">
        <v>37</v>
      </c>
      <c r="C158" s="2">
        <v>60</v>
      </c>
      <c r="D158" s="2">
        <v>8</v>
      </c>
      <c r="E158" s="2">
        <v>0.25</v>
      </c>
      <c r="F158" s="16">
        <f t="shared" si="7"/>
        <v>391.5358927685852</v>
      </c>
      <c r="G158" s="5" t="str">
        <f t="shared" si="8"/>
        <v>Moringa|37</v>
      </c>
    </row>
    <row r="159" spans="1:7" ht="16" customHeight="1" x14ac:dyDescent="0.2">
      <c r="A159" s="15" t="s">
        <v>17</v>
      </c>
      <c r="B159" s="2">
        <v>38</v>
      </c>
      <c r="C159" s="2">
        <v>60</v>
      </c>
      <c r="D159" s="2">
        <v>8</v>
      </c>
      <c r="E159" s="2">
        <v>0.25</v>
      </c>
      <c r="F159" s="16">
        <f t="shared" si="7"/>
        <v>391.5358927685852</v>
      </c>
      <c r="G159" s="5" t="str">
        <f t="shared" si="8"/>
        <v>Moringa|38</v>
      </c>
    </row>
    <row r="160" spans="1:7" ht="16" customHeight="1" x14ac:dyDescent="0.2">
      <c r="A160" s="15" t="s">
        <v>17</v>
      </c>
      <c r="B160" s="2">
        <v>39</v>
      </c>
      <c r="C160" s="2">
        <v>60</v>
      </c>
      <c r="D160" s="2">
        <v>8</v>
      </c>
      <c r="E160" s="2">
        <v>0.25</v>
      </c>
      <c r="F160" s="16">
        <f t="shared" si="7"/>
        <v>391.5358927685852</v>
      </c>
      <c r="G160" s="5" t="str">
        <f t="shared" si="8"/>
        <v>Moringa|39</v>
      </c>
    </row>
    <row r="161" spans="1:7" ht="16" customHeight="1" x14ac:dyDescent="0.2">
      <c r="A161" s="15" t="s">
        <v>17</v>
      </c>
      <c r="B161" s="2">
        <v>40</v>
      </c>
      <c r="C161" s="2">
        <v>60</v>
      </c>
      <c r="D161" s="2">
        <v>8</v>
      </c>
      <c r="E161" s="2">
        <v>0.25</v>
      </c>
      <c r="F161" s="16">
        <f t="shared" si="7"/>
        <v>391.5358927685852</v>
      </c>
      <c r="G161" s="5" t="str">
        <f t="shared" si="8"/>
        <v>Moringa|40</v>
      </c>
    </row>
    <row r="162" spans="1:7" ht="16" customHeight="1" x14ac:dyDescent="0.2">
      <c r="A162" s="15" t="s">
        <v>19</v>
      </c>
      <c r="B162" s="2">
        <v>1</v>
      </c>
      <c r="C162" s="2">
        <v>0.74</v>
      </c>
      <c r="D162" s="2">
        <v>0.25</v>
      </c>
      <c r="E162" s="2">
        <v>0.72</v>
      </c>
      <c r="F162" s="16">
        <f t="shared" ref="F162:F201" si="9">IF(C162="",NA(),0.084*POWER(C162,2.43))</f>
        <v>4.0412188029912276E-2</v>
      </c>
      <c r="G162" s="5" t="str">
        <f t="shared" ref="G162:G193" si="10">A162&amp;"|"&amp;B162</f>
        <v>Shea|1</v>
      </c>
    </row>
    <row r="163" spans="1:7" ht="16" customHeight="1" x14ac:dyDescent="0.2">
      <c r="A163" s="15" t="s">
        <v>19</v>
      </c>
      <c r="B163" s="2">
        <v>2</v>
      </c>
      <c r="C163" s="2">
        <v>1.48</v>
      </c>
      <c r="D163" s="2">
        <v>0.5</v>
      </c>
      <c r="E163" s="2">
        <v>0.72</v>
      </c>
      <c r="F163" s="16">
        <f t="shared" si="9"/>
        <v>0.21777862651403024</v>
      </c>
      <c r="G163" s="5" t="str">
        <f t="shared" si="10"/>
        <v>Shea|2</v>
      </c>
    </row>
    <row r="164" spans="1:7" ht="16" customHeight="1" x14ac:dyDescent="0.2">
      <c r="A164" s="15" t="s">
        <v>19</v>
      </c>
      <c r="B164" s="2">
        <v>3</v>
      </c>
      <c r="C164" s="2">
        <v>2.4358</v>
      </c>
      <c r="D164" s="2">
        <v>0.75</v>
      </c>
      <c r="E164" s="2">
        <v>0.72</v>
      </c>
      <c r="F164" s="16">
        <f t="shared" si="9"/>
        <v>0.73083348521170255</v>
      </c>
      <c r="G164" s="5" t="str">
        <f t="shared" si="10"/>
        <v>Shea|3</v>
      </c>
    </row>
    <row r="165" spans="1:7" ht="16" customHeight="1" x14ac:dyDescent="0.2">
      <c r="A165" s="15" t="s">
        <v>19</v>
      </c>
      <c r="B165" s="2">
        <v>4</v>
      </c>
      <c r="C165" s="2">
        <v>3.4946000000000002</v>
      </c>
      <c r="D165" s="2">
        <v>1</v>
      </c>
      <c r="E165" s="2">
        <v>0.72</v>
      </c>
      <c r="F165" s="16">
        <f t="shared" si="9"/>
        <v>1.7568518666675101</v>
      </c>
      <c r="G165" s="5" t="str">
        <f t="shared" si="10"/>
        <v>Shea|4</v>
      </c>
    </row>
    <row r="166" spans="1:7" ht="16" customHeight="1" x14ac:dyDescent="0.2">
      <c r="A166" s="15" t="s">
        <v>19</v>
      </c>
      <c r="B166" s="2">
        <v>5</v>
      </c>
      <c r="C166" s="2">
        <v>4.6261999999999999</v>
      </c>
      <c r="D166" s="2">
        <v>1.25</v>
      </c>
      <c r="E166" s="2">
        <v>0.72</v>
      </c>
      <c r="F166" s="16">
        <f t="shared" si="9"/>
        <v>3.4735582679705987</v>
      </c>
      <c r="G166" s="5" t="str">
        <f t="shared" si="10"/>
        <v>Shea|5</v>
      </c>
    </row>
    <row r="167" spans="1:7" ht="16" customHeight="1" x14ac:dyDescent="0.2">
      <c r="A167" s="15" t="s">
        <v>19</v>
      </c>
      <c r="B167" s="2">
        <v>6</v>
      </c>
      <c r="C167" s="2">
        <v>5.8154000000000003</v>
      </c>
      <c r="D167" s="2">
        <v>1.5</v>
      </c>
      <c r="E167" s="2">
        <v>0.72</v>
      </c>
      <c r="F167" s="16">
        <f t="shared" si="9"/>
        <v>6.0563043930992286</v>
      </c>
      <c r="G167" s="5" t="str">
        <f t="shared" si="10"/>
        <v>Shea|6</v>
      </c>
    </row>
    <row r="168" spans="1:7" ht="16" customHeight="1" x14ac:dyDescent="0.2">
      <c r="A168" s="15" t="s">
        <v>19</v>
      </c>
      <c r="B168" s="2">
        <v>7</v>
      </c>
      <c r="C168" s="2">
        <v>7.0525000000000002</v>
      </c>
      <c r="D168" s="2">
        <v>1.75</v>
      </c>
      <c r="E168" s="2">
        <v>0.72</v>
      </c>
      <c r="F168" s="16">
        <f t="shared" si="9"/>
        <v>9.6772733038689775</v>
      </c>
      <c r="G168" s="5" t="str">
        <f t="shared" si="10"/>
        <v>Shea|7</v>
      </c>
    </row>
    <row r="169" spans="1:7" ht="16" customHeight="1" x14ac:dyDescent="0.2">
      <c r="A169" s="15" t="s">
        <v>19</v>
      </c>
      <c r="B169" s="2">
        <v>8</v>
      </c>
      <c r="C169" s="2">
        <v>8.3309999999999995</v>
      </c>
      <c r="D169" s="2">
        <v>2</v>
      </c>
      <c r="E169" s="2">
        <v>0.72</v>
      </c>
      <c r="F169" s="16">
        <f t="shared" si="9"/>
        <v>14.50685675854346</v>
      </c>
      <c r="G169" s="5" t="str">
        <f t="shared" si="10"/>
        <v>Shea|8</v>
      </c>
    </row>
    <row r="170" spans="1:7" ht="16" customHeight="1" x14ac:dyDescent="0.2">
      <c r="A170" s="15" t="s">
        <v>19</v>
      </c>
      <c r="B170" s="2">
        <v>9</v>
      </c>
      <c r="C170" s="2">
        <v>9.6458999999999993</v>
      </c>
      <c r="D170" s="2">
        <v>2.25</v>
      </c>
      <c r="E170" s="2">
        <v>0.72</v>
      </c>
      <c r="F170" s="16">
        <f t="shared" si="9"/>
        <v>20.712483777774327</v>
      </c>
      <c r="G170" s="5" t="str">
        <f t="shared" si="10"/>
        <v>Shea|9</v>
      </c>
    </row>
    <row r="171" spans="1:7" ht="16" customHeight="1" x14ac:dyDescent="0.2">
      <c r="A171" s="15" t="s">
        <v>19</v>
      </c>
      <c r="B171" s="2">
        <v>10</v>
      </c>
      <c r="C171" s="2">
        <v>10.993600000000001</v>
      </c>
      <c r="D171" s="2">
        <v>2.5</v>
      </c>
      <c r="E171" s="2">
        <v>0.72</v>
      </c>
      <c r="F171" s="16">
        <f t="shared" si="9"/>
        <v>28.460945185543927</v>
      </c>
      <c r="G171" s="5" t="str">
        <f t="shared" si="10"/>
        <v>Shea|10</v>
      </c>
    </row>
    <row r="172" spans="1:7" ht="16" customHeight="1" x14ac:dyDescent="0.2">
      <c r="A172" s="15" t="s">
        <v>19</v>
      </c>
      <c r="B172" s="2">
        <v>11</v>
      </c>
      <c r="C172" s="2">
        <v>12.3711</v>
      </c>
      <c r="D172" s="2">
        <v>2.75</v>
      </c>
      <c r="E172" s="2">
        <v>0.72</v>
      </c>
      <c r="F172" s="16">
        <f t="shared" si="9"/>
        <v>37.916784260147622</v>
      </c>
      <c r="G172" s="5" t="str">
        <f t="shared" si="10"/>
        <v>Shea|11</v>
      </c>
    </row>
    <row r="173" spans="1:7" ht="16" customHeight="1" x14ac:dyDescent="0.2">
      <c r="A173" s="15" t="s">
        <v>19</v>
      </c>
      <c r="B173" s="2">
        <v>12</v>
      </c>
      <c r="C173" s="2">
        <v>13.7759</v>
      </c>
      <c r="D173" s="2">
        <v>3</v>
      </c>
      <c r="E173" s="2">
        <v>0.72</v>
      </c>
      <c r="F173" s="16">
        <f t="shared" si="9"/>
        <v>49.242584773108874</v>
      </c>
      <c r="G173" s="5" t="str">
        <f t="shared" si="10"/>
        <v>Shea|12</v>
      </c>
    </row>
    <row r="174" spans="1:7" ht="16" customHeight="1" x14ac:dyDescent="0.2">
      <c r="A174" s="15" t="s">
        <v>19</v>
      </c>
      <c r="B174" s="2">
        <v>13</v>
      </c>
      <c r="C174" s="2">
        <v>15.206099999999999</v>
      </c>
      <c r="D174" s="2">
        <v>3.25</v>
      </c>
      <c r="E174" s="2">
        <v>0.72</v>
      </c>
      <c r="F174" s="16">
        <f t="shared" si="9"/>
        <v>62.601197748260397</v>
      </c>
      <c r="G174" s="5" t="str">
        <f t="shared" si="10"/>
        <v>Shea|13</v>
      </c>
    </row>
    <row r="175" spans="1:7" ht="16" customHeight="1" x14ac:dyDescent="0.2">
      <c r="A175" s="15" t="s">
        <v>19</v>
      </c>
      <c r="B175" s="2">
        <v>14</v>
      </c>
      <c r="C175" s="2">
        <v>16.6599</v>
      </c>
      <c r="D175" s="2">
        <v>3.5</v>
      </c>
      <c r="E175" s="2">
        <v>0.72</v>
      </c>
      <c r="F175" s="16">
        <f t="shared" si="9"/>
        <v>78.152557452971962</v>
      </c>
      <c r="G175" s="5" t="str">
        <f t="shared" si="10"/>
        <v>Shea|14</v>
      </c>
    </row>
    <row r="176" spans="1:7" ht="16" customHeight="1" x14ac:dyDescent="0.2">
      <c r="A176" s="15" t="s">
        <v>19</v>
      </c>
      <c r="B176" s="2">
        <v>15</v>
      </c>
      <c r="C176" s="2">
        <v>18.1358</v>
      </c>
      <c r="D176" s="2">
        <v>3.75</v>
      </c>
      <c r="E176" s="2">
        <v>0.72</v>
      </c>
      <c r="F176" s="16">
        <f t="shared" si="9"/>
        <v>96.055781621151937</v>
      </c>
      <c r="G176" s="5" t="str">
        <f t="shared" si="10"/>
        <v>Shea|15</v>
      </c>
    </row>
    <row r="177" spans="1:7" ht="16" customHeight="1" x14ac:dyDescent="0.2">
      <c r="A177" s="15" t="s">
        <v>19</v>
      </c>
      <c r="B177" s="2">
        <v>16</v>
      </c>
      <c r="C177" s="2">
        <v>19.6326</v>
      </c>
      <c r="D177" s="2">
        <v>4</v>
      </c>
      <c r="E177" s="2">
        <v>0.72</v>
      </c>
      <c r="F177" s="16">
        <f t="shared" si="9"/>
        <v>116.4703510270182</v>
      </c>
      <c r="G177" s="5" t="str">
        <f t="shared" si="10"/>
        <v>Shea|16</v>
      </c>
    </row>
    <row r="178" spans="1:7" ht="16" customHeight="1" x14ac:dyDescent="0.2">
      <c r="A178" s="15" t="s">
        <v>19</v>
      </c>
      <c r="B178" s="2">
        <v>17</v>
      </c>
      <c r="C178" s="2">
        <v>21.1492</v>
      </c>
      <c r="D178" s="2">
        <v>4.25</v>
      </c>
      <c r="E178" s="2">
        <v>0.72</v>
      </c>
      <c r="F178" s="16">
        <f t="shared" si="9"/>
        <v>139.55441174665228</v>
      </c>
      <c r="G178" s="5" t="str">
        <f t="shared" si="10"/>
        <v>Shea|17</v>
      </c>
    </row>
    <row r="179" spans="1:7" ht="16" customHeight="1" x14ac:dyDescent="0.2">
      <c r="A179" s="15" t="s">
        <v>19</v>
      </c>
      <c r="B179" s="2">
        <v>18</v>
      </c>
      <c r="C179" s="2">
        <v>22.6845</v>
      </c>
      <c r="D179" s="2">
        <v>4.5</v>
      </c>
      <c r="E179" s="2">
        <v>0.72</v>
      </c>
      <c r="F179" s="16">
        <f t="shared" si="9"/>
        <v>165.46314290278696</v>
      </c>
      <c r="G179" s="5" t="str">
        <f t="shared" si="10"/>
        <v>Shea|18</v>
      </c>
    </row>
    <row r="180" spans="1:7" ht="16" customHeight="1" x14ac:dyDescent="0.2">
      <c r="A180" s="15" t="s">
        <v>19</v>
      </c>
      <c r="B180" s="2">
        <v>19</v>
      </c>
      <c r="C180" s="2">
        <v>24.2376</v>
      </c>
      <c r="D180" s="2">
        <v>4.75</v>
      </c>
      <c r="E180" s="2">
        <v>0.72</v>
      </c>
      <c r="F180" s="16">
        <f t="shared" si="9"/>
        <v>194.35201509166257</v>
      </c>
      <c r="G180" s="5" t="str">
        <f t="shared" si="10"/>
        <v>Shea|19</v>
      </c>
    </row>
    <row r="181" spans="1:7" ht="16" customHeight="1" x14ac:dyDescent="0.2">
      <c r="A181" s="15" t="s">
        <v>19</v>
      </c>
      <c r="B181" s="2">
        <v>20</v>
      </c>
      <c r="C181" s="2">
        <v>25.8078</v>
      </c>
      <c r="D181" s="2">
        <v>5</v>
      </c>
      <c r="E181" s="2">
        <v>0.72</v>
      </c>
      <c r="F181" s="16">
        <f t="shared" si="9"/>
        <v>226.37797892780631</v>
      </c>
      <c r="G181" s="5" t="str">
        <f t="shared" si="10"/>
        <v>Shea|20</v>
      </c>
    </row>
    <row r="182" spans="1:7" ht="16" customHeight="1" x14ac:dyDescent="0.2">
      <c r="A182" s="15" t="s">
        <v>19</v>
      </c>
      <c r="B182" s="2">
        <v>21</v>
      </c>
      <c r="C182" s="2">
        <v>27.394300000000001</v>
      </c>
      <c r="D182" s="2">
        <v>5.25</v>
      </c>
      <c r="E182" s="2">
        <v>0.72</v>
      </c>
      <c r="F182" s="16">
        <f t="shared" si="9"/>
        <v>261.69389443641302</v>
      </c>
      <c r="G182" s="5" t="str">
        <f t="shared" si="10"/>
        <v>Shea|21</v>
      </c>
    </row>
    <row r="183" spans="1:7" ht="16" customHeight="1" x14ac:dyDescent="0.2">
      <c r="A183" s="15" t="s">
        <v>19</v>
      </c>
      <c r="B183" s="2">
        <v>22</v>
      </c>
      <c r="C183" s="2">
        <v>28.996500000000001</v>
      </c>
      <c r="D183" s="2">
        <v>5.5</v>
      </c>
      <c r="E183" s="2">
        <v>0.72</v>
      </c>
      <c r="F183" s="16">
        <f t="shared" si="9"/>
        <v>300.45472983746282</v>
      </c>
      <c r="G183" s="5" t="str">
        <f t="shared" si="10"/>
        <v>Shea|22</v>
      </c>
    </row>
    <row r="184" spans="1:7" ht="16" customHeight="1" x14ac:dyDescent="0.2">
      <c r="A184" s="15" t="s">
        <v>19</v>
      </c>
      <c r="B184" s="2">
        <v>23</v>
      </c>
      <c r="C184" s="2">
        <v>30.613700000000001</v>
      </c>
      <c r="D184" s="2">
        <v>5.75</v>
      </c>
      <c r="E184" s="2">
        <v>0.72</v>
      </c>
      <c r="F184" s="16">
        <f t="shared" si="9"/>
        <v>342.81098781184886</v>
      </c>
      <c r="G184" s="5" t="str">
        <f t="shared" si="10"/>
        <v>Shea|23</v>
      </c>
    </row>
    <row r="185" spans="1:7" ht="16" customHeight="1" x14ac:dyDescent="0.2">
      <c r="A185" s="15" t="s">
        <v>19</v>
      </c>
      <c r="B185" s="2">
        <v>24</v>
      </c>
      <c r="C185" s="2">
        <v>32.2455</v>
      </c>
      <c r="D185" s="2">
        <v>6</v>
      </c>
      <c r="E185" s="2">
        <v>0.72</v>
      </c>
      <c r="F185" s="16">
        <f t="shared" si="9"/>
        <v>388.91906837109343</v>
      </c>
      <c r="G185" s="5" t="str">
        <f t="shared" si="10"/>
        <v>Shea|24</v>
      </c>
    </row>
    <row r="186" spans="1:7" ht="16" customHeight="1" x14ac:dyDescent="0.2">
      <c r="A186" s="15" t="s">
        <v>19</v>
      </c>
      <c r="B186" s="2">
        <v>25</v>
      </c>
      <c r="C186" s="2">
        <v>33.891199999999998</v>
      </c>
      <c r="D186" s="2">
        <v>6.25</v>
      </c>
      <c r="E186" s="2">
        <v>0.72</v>
      </c>
      <c r="F186" s="16">
        <f t="shared" si="9"/>
        <v>438.92525054602572</v>
      </c>
      <c r="G186" s="5" t="str">
        <f t="shared" si="10"/>
        <v>Shea|25</v>
      </c>
    </row>
    <row r="187" spans="1:7" ht="16" customHeight="1" x14ac:dyDescent="0.2">
      <c r="A187" s="15" t="s">
        <v>19</v>
      </c>
      <c r="B187" s="2">
        <v>26</v>
      </c>
      <c r="C187" s="2">
        <v>35.5505</v>
      </c>
      <c r="D187" s="2">
        <v>6.5</v>
      </c>
      <c r="E187" s="2">
        <v>0.72</v>
      </c>
      <c r="F187" s="16">
        <f t="shared" si="9"/>
        <v>492.98575372799405</v>
      </c>
      <c r="G187" s="5" t="str">
        <f t="shared" si="10"/>
        <v>Shea|26</v>
      </c>
    </row>
    <row r="188" spans="1:7" ht="16" customHeight="1" x14ac:dyDescent="0.2">
      <c r="A188" s="15" t="s">
        <v>19</v>
      </c>
      <c r="B188" s="2">
        <v>27</v>
      </c>
      <c r="C188" s="2">
        <v>37.222799999999999</v>
      </c>
      <c r="D188" s="2">
        <v>6.75</v>
      </c>
      <c r="E188" s="2">
        <v>0.72</v>
      </c>
      <c r="F188" s="16">
        <f t="shared" si="9"/>
        <v>551.24574525848573</v>
      </c>
      <c r="G188" s="5" t="str">
        <f t="shared" si="10"/>
        <v>Shea|27</v>
      </c>
    </row>
    <row r="189" spans="1:7" ht="16" customHeight="1" x14ac:dyDescent="0.2">
      <c r="A189" s="15" t="s">
        <v>19</v>
      </c>
      <c r="B189" s="2">
        <v>28</v>
      </c>
      <c r="C189" s="2">
        <v>38.907800000000002</v>
      </c>
      <c r="D189" s="2">
        <v>7</v>
      </c>
      <c r="E189" s="2">
        <v>0.72</v>
      </c>
      <c r="F189" s="16">
        <f t="shared" si="9"/>
        <v>613.85868650872999</v>
      </c>
      <c r="G189" s="5" t="str">
        <f t="shared" si="10"/>
        <v>Shea|28</v>
      </c>
    </row>
    <row r="190" spans="1:7" ht="16" customHeight="1" x14ac:dyDescent="0.2">
      <c r="A190" s="15" t="s">
        <v>19</v>
      </c>
      <c r="B190" s="2">
        <v>29</v>
      </c>
      <c r="C190" s="2">
        <v>40.605200000000004</v>
      </c>
      <c r="D190" s="2">
        <v>7.25</v>
      </c>
      <c r="E190" s="2">
        <v>0.72</v>
      </c>
      <c r="F190" s="16">
        <f t="shared" si="9"/>
        <v>680.97740967477876</v>
      </c>
      <c r="G190" s="5" t="str">
        <f t="shared" si="10"/>
        <v>Shea|29</v>
      </c>
    </row>
    <row r="191" spans="1:7" ht="16" customHeight="1" x14ac:dyDescent="0.2">
      <c r="A191" s="15" t="s">
        <v>19</v>
      </c>
      <c r="B191" s="2">
        <v>30</v>
      </c>
      <c r="C191" s="2">
        <v>42.314500000000002</v>
      </c>
      <c r="D191" s="2">
        <v>7.5</v>
      </c>
      <c r="E191" s="2">
        <v>0.72</v>
      </c>
      <c r="F191" s="16">
        <f t="shared" si="9"/>
        <v>752.74533868086166</v>
      </c>
      <c r="G191" s="5" t="str">
        <f t="shared" si="10"/>
        <v>Shea|30</v>
      </c>
    </row>
    <row r="192" spans="1:7" ht="16" customHeight="1" x14ac:dyDescent="0.2">
      <c r="A192" s="15" t="s">
        <v>19</v>
      </c>
      <c r="B192" s="2">
        <v>31</v>
      </c>
      <c r="C192" s="2">
        <v>44.035299999999999</v>
      </c>
      <c r="D192" s="2">
        <v>7.75</v>
      </c>
      <c r="E192" s="2">
        <v>0.72</v>
      </c>
      <c r="F192" s="16">
        <f t="shared" si="9"/>
        <v>829.30754661973867</v>
      </c>
      <c r="G192" s="5" t="str">
        <f t="shared" si="10"/>
        <v>Shea|31</v>
      </c>
    </row>
    <row r="193" spans="1:7" ht="16" customHeight="1" x14ac:dyDescent="0.2">
      <c r="A193" s="15" t="s">
        <v>19</v>
      </c>
      <c r="B193" s="2">
        <v>32</v>
      </c>
      <c r="C193" s="2">
        <v>45.767600000000002</v>
      </c>
      <c r="D193" s="2">
        <v>8</v>
      </c>
      <c r="E193" s="2">
        <v>0.72</v>
      </c>
      <c r="F193" s="16">
        <f t="shared" si="9"/>
        <v>910.82630379274804</v>
      </c>
      <c r="G193" s="5" t="str">
        <f t="shared" si="10"/>
        <v>Shea|32</v>
      </c>
    </row>
    <row r="194" spans="1:7" ht="16" customHeight="1" x14ac:dyDescent="0.2">
      <c r="A194" s="15" t="s">
        <v>19</v>
      </c>
      <c r="B194" s="2">
        <v>33</v>
      </c>
      <c r="C194" s="2">
        <v>47.510800000000003</v>
      </c>
      <c r="D194" s="2">
        <v>8.25</v>
      </c>
      <c r="E194" s="2">
        <v>0.72</v>
      </c>
      <c r="F194" s="16">
        <f t="shared" si="9"/>
        <v>997.43517596532445</v>
      </c>
      <c r="G194" s="5" t="str">
        <f t="shared" ref="G194:G201" si="11">A194&amp;"|"&amp;B194</f>
        <v>Shea|33</v>
      </c>
    </row>
    <row r="195" spans="1:7" ht="16" customHeight="1" x14ac:dyDescent="0.2">
      <c r="A195" s="15" t="s">
        <v>19</v>
      </c>
      <c r="B195" s="2">
        <v>34</v>
      </c>
      <c r="C195" s="2">
        <v>49.264699999999998</v>
      </c>
      <c r="D195" s="2">
        <v>8.5</v>
      </c>
      <c r="E195" s="2">
        <v>0.72</v>
      </c>
      <c r="F195" s="16">
        <f t="shared" si="9"/>
        <v>1089.2846489910692</v>
      </c>
      <c r="G195" s="5" t="str">
        <f t="shared" si="11"/>
        <v>Shea|34</v>
      </c>
    </row>
    <row r="196" spans="1:7" ht="16" customHeight="1" x14ac:dyDescent="0.2">
      <c r="A196" s="15" t="s">
        <v>19</v>
      </c>
      <c r="B196" s="2">
        <v>35</v>
      </c>
      <c r="C196" s="2">
        <v>51.0291</v>
      </c>
      <c r="D196" s="2">
        <v>8.75</v>
      </c>
      <c r="E196" s="2">
        <v>0.72</v>
      </c>
      <c r="F196" s="16">
        <f t="shared" si="9"/>
        <v>1186.5247571727969</v>
      </c>
      <c r="G196" s="5" t="str">
        <f t="shared" si="11"/>
        <v>Shea|35</v>
      </c>
    </row>
    <row r="197" spans="1:7" ht="16" customHeight="1" x14ac:dyDescent="0.2">
      <c r="A197" s="15" t="s">
        <v>19</v>
      </c>
      <c r="B197" s="2">
        <v>36</v>
      </c>
      <c r="C197" s="2">
        <v>52.803800000000003</v>
      </c>
      <c r="D197" s="2">
        <v>9</v>
      </c>
      <c r="E197" s="2">
        <v>0.72</v>
      </c>
      <c r="F197" s="16">
        <f t="shared" si="9"/>
        <v>1289.3050011344528</v>
      </c>
      <c r="G197" s="5" t="str">
        <f t="shared" si="11"/>
        <v>Shea|36</v>
      </c>
    </row>
    <row r="198" spans="1:7" ht="16" customHeight="1" x14ac:dyDescent="0.2">
      <c r="A198" s="15" t="s">
        <v>19</v>
      </c>
      <c r="B198" s="2">
        <v>37</v>
      </c>
      <c r="C198" s="2">
        <v>54.5884</v>
      </c>
      <c r="D198" s="2">
        <v>9.25</v>
      </c>
      <c r="E198" s="2">
        <v>0.72</v>
      </c>
      <c r="F198" s="16">
        <f t="shared" si="9"/>
        <v>1397.7618200582424</v>
      </c>
      <c r="G198" s="5" t="str">
        <f t="shared" si="11"/>
        <v>Shea|37</v>
      </c>
    </row>
    <row r="199" spans="1:7" ht="16" customHeight="1" x14ac:dyDescent="0.2">
      <c r="A199" s="15" t="s">
        <v>19</v>
      </c>
      <c r="B199" s="2">
        <v>38</v>
      </c>
      <c r="C199" s="2">
        <v>56.382800000000003</v>
      </c>
      <c r="D199" s="2">
        <v>9.5</v>
      </c>
      <c r="E199" s="2">
        <v>0.72</v>
      </c>
      <c r="F199" s="16">
        <f t="shared" si="9"/>
        <v>1512.0481450155992</v>
      </c>
      <c r="G199" s="5" t="str">
        <f t="shared" si="11"/>
        <v>Shea|38</v>
      </c>
    </row>
    <row r="200" spans="1:7" ht="16" customHeight="1" x14ac:dyDescent="0.2">
      <c r="A200" s="15" t="s">
        <v>19</v>
      </c>
      <c r="B200" s="2">
        <v>39</v>
      </c>
      <c r="C200" s="2">
        <v>58.186700000000002</v>
      </c>
      <c r="D200" s="2">
        <v>9.75</v>
      </c>
      <c r="E200" s="2">
        <v>0.72</v>
      </c>
      <c r="F200" s="16">
        <f t="shared" si="9"/>
        <v>1632.3036187718869</v>
      </c>
      <c r="G200" s="5" t="str">
        <f t="shared" si="11"/>
        <v>Shea|39</v>
      </c>
    </row>
    <row r="201" spans="1:7" ht="16" customHeight="1" x14ac:dyDescent="0.2">
      <c r="A201" s="17" t="s">
        <v>19</v>
      </c>
      <c r="B201" s="18">
        <v>40</v>
      </c>
      <c r="C201" s="18">
        <v>60</v>
      </c>
      <c r="D201" s="18">
        <v>10</v>
      </c>
      <c r="E201" s="18">
        <v>0.72</v>
      </c>
      <c r="F201" s="19">
        <f t="shared" si="9"/>
        <v>1758.6799989788901</v>
      </c>
      <c r="G201" s="5" t="str">
        <f t="shared" si="11"/>
        <v>Shea|40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01"/>
  <sheetViews>
    <sheetView showGridLines="0" workbookViewId="0">
      <pane ySplit="1" topLeftCell="A2" activePane="bottomLeft" state="frozen"/>
      <selection pane="bottomLeft" activeCell="X11" sqref="X11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18" customWidth="1"/>
    <col min="4" max="4" width="16" customWidth="1"/>
    <col min="5" max="5" width="14.33203125" customWidth="1"/>
    <col min="6" max="6" width="14" customWidth="1"/>
    <col min="7" max="7" width="18" customWidth="1"/>
    <col min="8" max="8" width="10" customWidth="1"/>
    <col min="9" max="9" width="17.83203125" customWidth="1"/>
    <col min="10" max="10" width="25" customWidth="1"/>
    <col min="11" max="11" width="19.83203125" customWidth="1"/>
    <col min="12" max="12" width="0.83203125" hidden="1" customWidth="1"/>
    <col min="13" max="17" width="13" hidden="1" customWidth="1"/>
    <col min="18" max="18" width="2" hidden="1" customWidth="1"/>
    <col min="19" max="23" width="13" hidden="1" customWidth="1"/>
    <col min="24" max="24" width="5" customWidth="1"/>
    <col min="25" max="25" width="29" customWidth="1"/>
    <col min="26" max="26" width="32.83203125" customWidth="1"/>
    <col min="28" max="28" width="13" hidden="1" customWidth="1"/>
  </cols>
  <sheetData>
    <row r="1" spans="1:28" ht="32" customHeight="1" x14ac:dyDescent="0.2">
      <c r="A1" s="20" t="s">
        <v>1</v>
      </c>
      <c r="B1" s="21" t="s">
        <v>51</v>
      </c>
      <c r="C1" s="21" t="s">
        <v>57</v>
      </c>
      <c r="D1" s="21" t="s">
        <v>58</v>
      </c>
      <c r="E1" s="21" t="s">
        <v>59</v>
      </c>
      <c r="F1" s="21" t="s">
        <v>60</v>
      </c>
      <c r="G1" s="21" t="s">
        <v>61</v>
      </c>
      <c r="H1" s="21" t="s">
        <v>62</v>
      </c>
      <c r="I1" s="21" t="s">
        <v>63</v>
      </c>
      <c r="J1" s="21" t="s">
        <v>64</v>
      </c>
      <c r="K1" s="22" t="s">
        <v>65</v>
      </c>
      <c r="M1" t="s">
        <v>1</v>
      </c>
      <c r="N1" t="s">
        <v>66</v>
      </c>
      <c r="O1" t="s">
        <v>67</v>
      </c>
      <c r="P1" t="s">
        <v>68</v>
      </c>
      <c r="Q1" s="1" t="s">
        <v>56</v>
      </c>
      <c r="S1" s="4" t="s">
        <v>69</v>
      </c>
      <c r="T1" s="4" t="s">
        <v>70</v>
      </c>
      <c r="U1" s="4" t="s">
        <v>71</v>
      </c>
      <c r="V1" s="4" t="s">
        <v>72</v>
      </c>
      <c r="W1" s="4" t="s">
        <v>73</v>
      </c>
      <c r="Y1" s="21" t="s">
        <v>74</v>
      </c>
      <c r="Z1" s="21" t="s">
        <v>75</v>
      </c>
      <c r="AB1" s="4" t="s">
        <v>76</v>
      </c>
    </row>
    <row r="2" spans="1:28" ht="16" customHeight="1" x14ac:dyDescent="0.2">
      <c r="A2" s="15" t="s">
        <v>9</v>
      </c>
      <c r="B2" s="2">
        <v>1</v>
      </c>
      <c r="C2" s="2">
        <f t="shared" ref="C2:C33" si="0">INDEX($N$2:$N$6, MATCH(A2, $M$2:$M$6, 0))</f>
        <v>70</v>
      </c>
      <c r="D2" s="2">
        <f t="shared" ref="D2:D33" si="1">IF(B2=1,INDEX($T$2:$T$6, MATCH(A2, $S$2:$S$6, 0)),INDEX($T$2:$T$6, MATCH(A2, $S$2:$S$6, 0))*POWER(INDEX($U$2:$U$6, MATCH(A2, $S$2:$S$6, 0)),MIN(B2-1,2))*POWER(INDEX($V$2:$V$6, MATCH(A2, $S$2:$S$6, 0)),MAX(MIN(B2-3,17),0))*POWER(INDEX($W$2:$W$6, MATCH(A2, $S$2:$S$6, 0)),MAX(B2-20,0)))</f>
        <v>0.75</v>
      </c>
      <c r="E2" s="2">
        <f t="shared" ref="E2:E33" si="2">C2*D2</f>
        <v>52.5</v>
      </c>
      <c r="F2" s="2">
        <f>IFERROR(INDEX('3_GrowthInputs'!$F$2:$F$201, MATCH(Q2, '3_GrowthInputs'!$G$2:$G$201, 0)), NA())</f>
        <v>0</v>
      </c>
      <c r="G2" s="2">
        <f t="shared" ref="G2:G33" si="3">IF(OR(ISNA(E2),ISNA(F2)),NA(),E2*F2/1000)</f>
        <v>0</v>
      </c>
      <c r="H2" s="2">
        <f t="shared" ref="H2:H33" si="4">IF(ISNA(G2),NA(),IF(G2&gt;0,EXP(-1.085+0.9256*LN(G2))/G2,0))</f>
        <v>0</v>
      </c>
      <c r="I2" s="2">
        <f t="shared" ref="I2:I33" si="5">IF(OR(ISNA(G2),ISNA(H2)),NA(),G2*H2)</f>
        <v>0</v>
      </c>
      <c r="J2" s="2">
        <f t="shared" ref="J2:J33" si="6">IF(OR(ISNA(G2),ISNA(I2)),NA(),G2+I2)</f>
        <v>0</v>
      </c>
      <c r="K2" s="23">
        <f t="shared" ref="K2:K33" si="7">Z2*0.47*(44/12)</f>
        <v>0</v>
      </c>
      <c r="M2" t="s">
        <v>9</v>
      </c>
      <c r="N2">
        <v>70</v>
      </c>
      <c r="O2">
        <v>0.7</v>
      </c>
      <c r="P2">
        <v>0.95</v>
      </c>
      <c r="Q2" t="str">
        <f t="shared" ref="Q2:Q33" si="8">A2&amp;"|"&amp;B2</f>
        <v>Cashew|1</v>
      </c>
      <c r="S2" t="s">
        <v>9</v>
      </c>
      <c r="T2">
        <v>0.75</v>
      </c>
      <c r="U2">
        <v>0.95</v>
      </c>
      <c r="V2">
        <v>0.99</v>
      </c>
      <c r="W2">
        <v>0.98499999999999999</v>
      </c>
      <c r="Y2">
        <v>0</v>
      </c>
      <c r="Z2">
        <f t="shared" ref="Z2:Z33" si="9">J2+Y2</f>
        <v>0</v>
      </c>
      <c r="AB2">
        <v>0.1</v>
      </c>
    </row>
    <row r="3" spans="1:28" ht="16" customHeight="1" x14ac:dyDescent="0.2">
      <c r="A3" s="15" t="s">
        <v>9</v>
      </c>
      <c r="B3" s="2">
        <v>2</v>
      </c>
      <c r="C3" s="2">
        <f t="shared" si="0"/>
        <v>70</v>
      </c>
      <c r="D3" s="2">
        <f t="shared" si="1"/>
        <v>0.71249999999999991</v>
      </c>
      <c r="E3" s="2">
        <f t="shared" si="2"/>
        <v>49.874999999999993</v>
      </c>
      <c r="F3" s="2">
        <f>IFERROR(INDEX('3_GrowthInputs'!$F$2:$F$201, MATCH(Q3, '3_GrowthInputs'!$G$2:$G$201, 0)), NA())</f>
        <v>0.27651674556400879</v>
      </c>
      <c r="G3" s="2">
        <f t="shared" si="3"/>
        <v>1.3791272685004937E-2</v>
      </c>
      <c r="H3" s="2">
        <f t="shared" si="4"/>
        <v>0.46473344049754628</v>
      </c>
      <c r="I3" s="2">
        <f t="shared" si="5"/>
        <v>6.4092656037421768E-3</v>
      </c>
      <c r="J3" s="2">
        <f t="shared" si="6"/>
        <v>2.0200538288747114E-2</v>
      </c>
      <c r="K3" s="23">
        <f t="shared" si="7"/>
        <v>3.4812260984274195E-2</v>
      </c>
      <c r="M3" t="s">
        <v>13</v>
      </c>
      <c r="N3">
        <v>70</v>
      </c>
      <c r="O3">
        <v>0.7</v>
      </c>
      <c r="P3">
        <v>0.95</v>
      </c>
      <c r="Q3" t="str">
        <f t="shared" si="8"/>
        <v>Cashew|2</v>
      </c>
      <c r="S3" t="s">
        <v>13</v>
      </c>
      <c r="T3">
        <v>0.75</v>
      </c>
      <c r="U3">
        <v>0.96</v>
      </c>
      <c r="V3">
        <v>0.995</v>
      </c>
      <c r="W3">
        <v>0.99</v>
      </c>
      <c r="Y3">
        <f>Y2*(1-AB2) + MAX(0,J2-J3)</f>
        <v>0</v>
      </c>
      <c r="Z3">
        <f t="shared" si="9"/>
        <v>2.0200538288747114E-2</v>
      </c>
    </row>
    <row r="4" spans="1:28" ht="16" customHeight="1" x14ac:dyDescent="0.2">
      <c r="A4" s="15" t="s">
        <v>9</v>
      </c>
      <c r="B4" s="2">
        <v>3</v>
      </c>
      <c r="C4" s="2">
        <f t="shared" si="0"/>
        <v>70</v>
      </c>
      <c r="D4" s="2">
        <f t="shared" si="1"/>
        <v>0.676875</v>
      </c>
      <c r="E4" s="2">
        <f t="shared" si="2"/>
        <v>47.381250000000001</v>
      </c>
      <c r="F4" s="2">
        <f>IFERROR(INDEX('3_GrowthInputs'!$F$2:$F$201, MATCH(Q4, '3_GrowthInputs'!$G$2:$G$201, 0)), NA())</f>
        <v>0.46164925162131648</v>
      </c>
      <c r="G4" s="2">
        <f t="shared" si="3"/>
        <v>2.1873518603382505E-2</v>
      </c>
      <c r="H4" s="2">
        <f t="shared" si="4"/>
        <v>0.44905603728192817</v>
      </c>
      <c r="I4" s="2">
        <f t="shared" si="5"/>
        <v>9.822435585447483E-3</v>
      </c>
      <c r="J4" s="2">
        <f t="shared" si="6"/>
        <v>3.1695954188829992E-2</v>
      </c>
      <c r="K4" s="23">
        <f t="shared" si="7"/>
        <v>5.4622694385417017E-2</v>
      </c>
      <c r="M4" t="s">
        <v>15</v>
      </c>
      <c r="N4">
        <v>79</v>
      </c>
      <c r="O4">
        <v>0.7</v>
      </c>
      <c r="P4">
        <v>0.95</v>
      </c>
      <c r="Q4" t="str">
        <f t="shared" si="8"/>
        <v>Cashew|3</v>
      </c>
      <c r="S4" t="s">
        <v>15</v>
      </c>
      <c r="T4">
        <v>0.75</v>
      </c>
      <c r="U4">
        <v>0.95</v>
      </c>
      <c r="V4">
        <v>0.99</v>
      </c>
      <c r="W4">
        <v>0.98499999999999999</v>
      </c>
      <c r="Y4">
        <f>Y3*(1-AB2) + MAX(0,J3-J4)</f>
        <v>0</v>
      </c>
      <c r="Z4">
        <f t="shared" si="9"/>
        <v>3.1695954188829992E-2</v>
      </c>
    </row>
    <row r="5" spans="1:28" ht="16" customHeight="1" x14ac:dyDescent="0.2">
      <c r="A5" s="15" t="s">
        <v>9</v>
      </c>
      <c r="B5" s="2">
        <v>4</v>
      </c>
      <c r="C5" s="2">
        <f t="shared" si="0"/>
        <v>70</v>
      </c>
      <c r="D5" s="2">
        <f t="shared" si="1"/>
        <v>0.67010625000000001</v>
      </c>
      <c r="E5" s="2">
        <f t="shared" si="2"/>
        <v>46.9074375</v>
      </c>
      <c r="F5" s="2">
        <f>IFERROR(INDEX('3_GrowthInputs'!$F$2:$F$201, MATCH(Q5, '3_GrowthInputs'!$G$2:$G$201, 0)), NA())</f>
        <v>0.76173589256756491</v>
      </c>
      <c r="G5" s="2">
        <f t="shared" si="3"/>
        <v>3.5731078772119763E-2</v>
      </c>
      <c r="H5" s="2">
        <f t="shared" si="4"/>
        <v>0.4329560923288257</v>
      </c>
      <c r="I5" s="2">
        <f t="shared" si="5"/>
        <v>1.5469988239870428E-2</v>
      </c>
      <c r="J5" s="2">
        <f t="shared" si="6"/>
        <v>5.120106701199019E-2</v>
      </c>
      <c r="K5" s="23">
        <f t="shared" si="7"/>
        <v>8.8236505483996419E-2</v>
      </c>
      <c r="M5" t="s">
        <v>17</v>
      </c>
      <c r="N5">
        <v>79</v>
      </c>
      <c r="O5">
        <v>0.65</v>
      </c>
      <c r="P5">
        <v>0.95</v>
      </c>
      <c r="Q5" t="str">
        <f t="shared" si="8"/>
        <v>Cashew|4</v>
      </c>
      <c r="S5" t="s">
        <v>17</v>
      </c>
      <c r="T5">
        <v>0.7</v>
      </c>
      <c r="U5">
        <v>0.94</v>
      </c>
      <c r="V5">
        <v>0.98499999999999999</v>
      </c>
      <c r="W5">
        <v>0.97</v>
      </c>
      <c r="Y5">
        <f>Y4*(1-AB2) + MAX(0,J4-J5)</f>
        <v>0</v>
      </c>
      <c r="Z5">
        <f t="shared" si="9"/>
        <v>5.120106701199019E-2</v>
      </c>
    </row>
    <row r="6" spans="1:28" ht="16" customHeight="1" x14ac:dyDescent="0.2">
      <c r="A6" s="15" t="s">
        <v>9</v>
      </c>
      <c r="B6" s="2">
        <v>5</v>
      </c>
      <c r="C6" s="2">
        <f t="shared" si="0"/>
        <v>70</v>
      </c>
      <c r="D6" s="2">
        <f t="shared" si="1"/>
        <v>0.66340518749999999</v>
      </c>
      <c r="E6" s="2">
        <f t="shared" si="2"/>
        <v>46.438363125000002</v>
      </c>
      <c r="F6" s="2">
        <f>IFERROR(INDEX('3_GrowthInputs'!$F$2:$F$201, MATCH(Q6, '3_GrowthInputs'!$G$2:$G$201, 0)), NA())</f>
        <v>1.2414553847022025</v>
      </c>
      <c r="G6" s="2">
        <f t="shared" si="3"/>
        <v>5.7651155958287452E-2</v>
      </c>
      <c r="H6" s="2">
        <f t="shared" si="4"/>
        <v>0.41781725401620207</v>
      </c>
      <c r="I6" s="2">
        <f t="shared" si="5"/>
        <v>2.4087647673351469E-2</v>
      </c>
      <c r="J6" s="2">
        <f t="shared" si="6"/>
        <v>8.173880363163892E-2</v>
      </c>
      <c r="K6" s="23">
        <f t="shared" si="7"/>
        <v>0.14086320492519105</v>
      </c>
      <c r="M6" t="s">
        <v>19</v>
      </c>
      <c r="N6">
        <v>79</v>
      </c>
      <c r="O6">
        <v>0.7</v>
      </c>
      <c r="P6">
        <v>0.95</v>
      </c>
      <c r="Q6" t="str">
        <f t="shared" si="8"/>
        <v>Cashew|5</v>
      </c>
      <c r="S6" t="s">
        <v>19</v>
      </c>
      <c r="T6">
        <v>0.75</v>
      </c>
      <c r="U6">
        <v>0.96</v>
      </c>
      <c r="V6">
        <v>0.995</v>
      </c>
      <c r="W6">
        <v>0.99</v>
      </c>
      <c r="Y6">
        <f>Y5*(1-AB2) + MAX(0,J5-J6)</f>
        <v>0</v>
      </c>
      <c r="Z6">
        <f t="shared" si="9"/>
        <v>8.173880363163892E-2</v>
      </c>
    </row>
    <row r="7" spans="1:28" ht="16" customHeight="1" x14ac:dyDescent="0.2">
      <c r="A7" s="15" t="s">
        <v>9</v>
      </c>
      <c r="B7" s="2">
        <v>6</v>
      </c>
      <c r="C7" s="2">
        <f t="shared" si="0"/>
        <v>70</v>
      </c>
      <c r="D7" s="2">
        <f t="shared" si="1"/>
        <v>0.65677113562499989</v>
      </c>
      <c r="E7" s="2">
        <f t="shared" si="2"/>
        <v>45.973979493749994</v>
      </c>
      <c r="F7" s="2">
        <f>IFERROR(INDEX('3_GrowthInputs'!$F$2:$F$201, MATCH(Q7, '3_GrowthInputs'!$G$2:$G$201, 0)), NA())</f>
        <v>1.9932389857298087</v>
      </c>
      <c r="G7" s="2">
        <f t="shared" si="3"/>
        <v>9.1637128256085262E-2</v>
      </c>
      <c r="H7" s="2">
        <f t="shared" si="4"/>
        <v>0.40365688988783649</v>
      </c>
      <c r="I7" s="2">
        <f t="shared" si="5"/>
        <v>3.6989958190104158E-2</v>
      </c>
      <c r="J7" s="2">
        <f t="shared" si="6"/>
        <v>0.12862708644618942</v>
      </c>
      <c r="K7" s="23">
        <f t="shared" si="7"/>
        <v>0.22166734564226642</v>
      </c>
      <c r="Q7" t="str">
        <f t="shared" si="8"/>
        <v>Cashew|6</v>
      </c>
      <c r="Y7">
        <f>Y6*(1-AB2) + MAX(0,J6-J7)</f>
        <v>0</v>
      </c>
      <c r="Z7">
        <f t="shared" si="9"/>
        <v>0.12862708644618942</v>
      </c>
    </row>
    <row r="8" spans="1:28" ht="16" customHeight="1" x14ac:dyDescent="0.2">
      <c r="A8" s="15" t="s">
        <v>9</v>
      </c>
      <c r="B8" s="2">
        <v>7</v>
      </c>
      <c r="C8" s="2">
        <f t="shared" si="0"/>
        <v>70</v>
      </c>
      <c r="D8" s="2">
        <f t="shared" si="1"/>
        <v>0.65020342426875</v>
      </c>
      <c r="E8" s="2">
        <f t="shared" si="2"/>
        <v>45.514239698812503</v>
      </c>
      <c r="F8" s="2">
        <f>IFERROR(INDEX('3_GrowthInputs'!$F$2:$F$201, MATCH(Q8, '3_GrowthInputs'!$G$2:$G$201, 0)), NA())</f>
        <v>3.1450812476058214</v>
      </c>
      <c r="G8" s="2">
        <f t="shared" si="3"/>
        <v>0.14314598177577165</v>
      </c>
      <c r="H8" s="2">
        <f t="shared" si="4"/>
        <v>0.39048154905749161</v>
      </c>
      <c r="I8" s="2">
        <f t="shared" si="5"/>
        <v>5.5895864705158775E-2</v>
      </c>
      <c r="J8" s="2">
        <f t="shared" si="6"/>
        <v>0.19904184648093043</v>
      </c>
      <c r="K8" s="23">
        <f t="shared" si="7"/>
        <v>0.34301544876880341</v>
      </c>
      <c r="Q8" t="str">
        <f t="shared" si="8"/>
        <v>Cashew|7</v>
      </c>
      <c r="Y8">
        <f>Y7*(1-AB2) + MAX(0,J7-J8)</f>
        <v>0</v>
      </c>
      <c r="Z8">
        <f t="shared" si="9"/>
        <v>0.19904184648093043</v>
      </c>
    </row>
    <row r="9" spans="1:28" ht="16" customHeight="1" x14ac:dyDescent="0.2">
      <c r="A9" s="15" t="s">
        <v>9</v>
      </c>
      <c r="B9" s="2">
        <v>8</v>
      </c>
      <c r="C9" s="2">
        <f t="shared" si="0"/>
        <v>70</v>
      </c>
      <c r="D9" s="2">
        <f t="shared" si="1"/>
        <v>0.64370139002606241</v>
      </c>
      <c r="E9" s="2">
        <f t="shared" si="2"/>
        <v>45.059097301824366</v>
      </c>
      <c r="F9" s="2">
        <f>IFERROR(INDEX('3_GrowthInputs'!$F$2:$F$201, MATCH(Q9, '3_GrowthInputs'!$G$2:$G$201, 0)), NA())</f>
        <v>4.8692386652320732</v>
      </c>
      <c r="G9" s="2">
        <f t="shared" si="3"/>
        <v>0.21940349880249738</v>
      </c>
      <c r="H9" s="2">
        <f t="shared" si="4"/>
        <v>0.3782700589223788</v>
      </c>
      <c r="I9" s="2">
        <f t="shared" si="5"/>
        <v>8.2993774419796745E-2</v>
      </c>
      <c r="J9" s="2">
        <f t="shared" si="6"/>
        <v>0.30239727322229415</v>
      </c>
      <c r="K9" s="23">
        <f t="shared" si="7"/>
        <v>0.5211313008530869</v>
      </c>
      <c r="Q9" t="str">
        <f t="shared" si="8"/>
        <v>Cashew|8</v>
      </c>
      <c r="Y9">
        <f>Y8*(1-AB2) + MAX(0,J8-J9)</f>
        <v>0</v>
      </c>
      <c r="Z9">
        <f t="shared" si="9"/>
        <v>0.30239727322229415</v>
      </c>
    </row>
    <row r="10" spans="1:28" ht="16" customHeight="1" x14ac:dyDescent="0.2">
      <c r="A10" s="15" t="s">
        <v>9</v>
      </c>
      <c r="B10" s="2">
        <v>9</v>
      </c>
      <c r="C10" s="2">
        <f t="shared" si="0"/>
        <v>70</v>
      </c>
      <c r="D10" s="2">
        <f t="shared" si="1"/>
        <v>0.63726437612580178</v>
      </c>
      <c r="E10" s="2">
        <f t="shared" si="2"/>
        <v>44.608506328806122</v>
      </c>
      <c r="F10" s="2">
        <f>IFERROR(INDEX('3_GrowthInputs'!$F$2:$F$201, MATCH(Q10, '3_GrowthInputs'!$G$2:$G$201, 0)), NA())</f>
        <v>7.3779823780071085</v>
      </c>
      <c r="G10" s="2">
        <f t="shared" si="3"/>
        <v>0.32912077360315017</v>
      </c>
      <c r="H10" s="2">
        <f t="shared" si="4"/>
        <v>0.36702804732840277</v>
      </c>
      <c r="I10" s="2">
        <f t="shared" si="5"/>
        <v>0.12079655487077753</v>
      </c>
      <c r="J10" s="2">
        <f t="shared" si="6"/>
        <v>0.44991732847392774</v>
      </c>
      <c r="K10" s="23">
        <f t="shared" si="7"/>
        <v>0.77535752940340208</v>
      </c>
      <c r="Q10" t="str">
        <f t="shared" si="8"/>
        <v>Cashew|9</v>
      </c>
      <c r="Y10">
        <f>Y9*(1-AB2) + MAX(0,J9-J10)</f>
        <v>0</v>
      </c>
      <c r="Z10">
        <f t="shared" si="9"/>
        <v>0.44991732847392774</v>
      </c>
    </row>
    <row r="11" spans="1:28" ht="16" customHeight="1" x14ac:dyDescent="0.2">
      <c r="A11" s="15" t="s">
        <v>9</v>
      </c>
      <c r="B11" s="2">
        <v>10</v>
      </c>
      <c r="C11" s="2">
        <f t="shared" si="0"/>
        <v>70</v>
      </c>
      <c r="D11" s="2">
        <f t="shared" si="1"/>
        <v>0.63089173236454377</v>
      </c>
      <c r="E11" s="2">
        <f t="shared" si="2"/>
        <v>44.162421265518063</v>
      </c>
      <c r="F11" s="2">
        <f>IFERROR(INDEX('3_GrowthInputs'!$F$2:$F$201, MATCH(Q11, '3_GrowthInputs'!$G$2:$G$201, 0)), NA())</f>
        <v>10.918284455361578</v>
      </c>
      <c r="G11" s="2">
        <f t="shared" si="3"/>
        <v>0.48217787761443542</v>
      </c>
      <c r="H11" s="2">
        <f t="shared" si="4"/>
        <v>0.35674661864446355</v>
      </c>
      <c r="I11" s="2">
        <f t="shared" si="5"/>
        <v>0.17201532742411382</v>
      </c>
      <c r="J11" s="2">
        <f t="shared" si="6"/>
        <v>0.65419320503854927</v>
      </c>
      <c r="K11" s="23">
        <f t="shared" si="7"/>
        <v>1.1273929566830998</v>
      </c>
      <c r="Q11" t="str">
        <f t="shared" si="8"/>
        <v>Cashew|10</v>
      </c>
      <c r="Y11">
        <f>Y10*(1-AB2) + MAX(0,J10-J11)</f>
        <v>0</v>
      </c>
      <c r="Z11">
        <f t="shared" si="9"/>
        <v>0.65419320503854927</v>
      </c>
    </row>
    <row r="12" spans="1:28" ht="16" customHeight="1" x14ac:dyDescent="0.2">
      <c r="A12" s="15" t="s">
        <v>9</v>
      </c>
      <c r="B12" s="2">
        <v>11</v>
      </c>
      <c r="C12" s="2">
        <f t="shared" si="0"/>
        <v>70</v>
      </c>
      <c r="D12" s="2">
        <f t="shared" si="1"/>
        <v>0.6245828150408983</v>
      </c>
      <c r="E12" s="2">
        <f t="shared" si="2"/>
        <v>43.720797052862878</v>
      </c>
      <c r="F12" s="2">
        <f>IFERROR(INDEX('3_GrowthInputs'!$F$2:$F$201, MATCH(Q12, '3_GrowthInputs'!$G$2:$G$201, 0)), NA())</f>
        <v>15.748319183240012</v>
      </c>
      <c r="G12" s="2">
        <f t="shared" si="3"/>
        <v>0.68852906693414384</v>
      </c>
      <c r="H12" s="2">
        <f t="shared" si="4"/>
        <v>0.34741540312779368</v>
      </c>
      <c r="I12" s="2">
        <f t="shared" si="5"/>
        <v>0.23920560335412921</v>
      </c>
      <c r="J12" s="2">
        <f t="shared" si="6"/>
        <v>0.92773467028827306</v>
      </c>
      <c r="K12" s="23">
        <f t="shared" si="7"/>
        <v>1.5987960817967906</v>
      </c>
      <c r="Q12" t="str">
        <f t="shared" si="8"/>
        <v>Cashew|11</v>
      </c>
      <c r="Y12">
        <f>Y11*(1-AB2) + MAX(0,J11-J12)</f>
        <v>0</v>
      </c>
      <c r="Z12">
        <f t="shared" si="9"/>
        <v>0.92773467028827306</v>
      </c>
    </row>
    <row r="13" spans="1:28" ht="16" customHeight="1" x14ac:dyDescent="0.2">
      <c r="A13" s="15" t="s">
        <v>9</v>
      </c>
      <c r="B13" s="2">
        <v>12</v>
      </c>
      <c r="C13" s="2">
        <f t="shared" si="0"/>
        <v>70</v>
      </c>
      <c r="D13" s="2">
        <f t="shared" si="1"/>
        <v>0.61833698689048933</v>
      </c>
      <c r="E13" s="2">
        <f t="shared" si="2"/>
        <v>43.283589082334252</v>
      </c>
      <c r="F13" s="2">
        <f>IFERROR(INDEX('3_GrowthInputs'!$F$2:$F$201, MATCH(Q13, '3_GrowthInputs'!$G$2:$G$201, 0)), NA())</f>
        <v>22.108794855303636</v>
      </c>
      <c r="G13" s="2">
        <f t="shared" si="3"/>
        <v>0.95694799162258815</v>
      </c>
      <c r="H13" s="2">
        <f t="shared" si="4"/>
        <v>0.33900991095504884</v>
      </c>
      <c r="I13" s="2">
        <f t="shared" si="5"/>
        <v>0.32441485342858645</v>
      </c>
      <c r="J13" s="2">
        <f t="shared" si="6"/>
        <v>1.2813628450511745</v>
      </c>
      <c r="K13" s="23">
        <f t="shared" si="7"/>
        <v>2.2082153029715239</v>
      </c>
      <c r="Q13" t="str">
        <f t="shared" si="8"/>
        <v>Cashew|12</v>
      </c>
      <c r="Y13">
        <f>Y12*(1-AB2) + MAX(0,J12-J13)</f>
        <v>0</v>
      </c>
      <c r="Z13">
        <f t="shared" si="9"/>
        <v>1.2813628450511745</v>
      </c>
    </row>
    <row r="14" spans="1:28" ht="16" customHeight="1" x14ac:dyDescent="0.2">
      <c r="A14" s="15" t="s">
        <v>9</v>
      </c>
      <c r="B14" s="2">
        <v>13</v>
      </c>
      <c r="C14" s="2">
        <f t="shared" si="0"/>
        <v>70</v>
      </c>
      <c r="D14" s="2">
        <f t="shared" si="1"/>
        <v>0.61215361702158444</v>
      </c>
      <c r="E14" s="2">
        <f t="shared" si="2"/>
        <v>42.850753191510911</v>
      </c>
      <c r="F14" s="2">
        <f>IFERROR(INDEX('3_GrowthInputs'!$F$2:$F$201, MATCH(Q14, '3_GrowthInputs'!$G$2:$G$201, 0)), NA())</f>
        <v>30.183454743194382</v>
      </c>
      <c r="G14" s="2">
        <f t="shared" si="3"/>
        <v>1.2933837696677617</v>
      </c>
      <c r="H14" s="2">
        <f t="shared" si="4"/>
        <v>0.33149575247465224</v>
      </c>
      <c r="I14" s="2">
        <f t="shared" si="5"/>
        <v>0.42875122596451698</v>
      </c>
      <c r="J14" s="2">
        <f t="shared" si="6"/>
        <v>1.7221349956322787</v>
      </c>
      <c r="K14" s="23">
        <f t="shared" si="7"/>
        <v>2.9678126424729596</v>
      </c>
      <c r="Q14" t="str">
        <f t="shared" si="8"/>
        <v>Cashew|13</v>
      </c>
      <c r="Y14">
        <f>Y13*(1-AB2) + MAX(0,J13-J14)</f>
        <v>0</v>
      </c>
      <c r="Z14">
        <f t="shared" si="9"/>
        <v>1.7221349956322787</v>
      </c>
    </row>
    <row r="15" spans="1:28" ht="16" customHeight="1" x14ac:dyDescent="0.2">
      <c r="A15" s="15" t="s">
        <v>9</v>
      </c>
      <c r="B15" s="2">
        <v>14</v>
      </c>
      <c r="C15" s="2">
        <f t="shared" si="0"/>
        <v>70</v>
      </c>
      <c r="D15" s="2">
        <f t="shared" si="1"/>
        <v>0.60603208085136862</v>
      </c>
      <c r="E15" s="2">
        <f t="shared" si="2"/>
        <v>42.422245659595802</v>
      </c>
      <c r="F15" s="2">
        <f>IFERROR(INDEX('3_GrowthInputs'!$F$2:$F$201, MATCH(Q15, '3_GrowthInputs'!$G$2:$G$201, 0)), NA())</f>
        <v>40.054008366800829</v>
      </c>
      <c r="G15" s="2">
        <f t="shared" si="3"/>
        <v>1.6991809825879305</v>
      </c>
      <c r="H15" s="2">
        <f t="shared" si="4"/>
        <v>0.32483338514974902</v>
      </c>
      <c r="I15" s="2">
        <f t="shared" si="5"/>
        <v>0.55195071055611422</v>
      </c>
      <c r="J15" s="2">
        <f t="shared" si="6"/>
        <v>2.2511316931440448</v>
      </c>
      <c r="K15" s="23">
        <f t="shared" si="7"/>
        <v>3.8794502845182373</v>
      </c>
      <c r="Q15" t="str">
        <f t="shared" si="8"/>
        <v>Cashew|14</v>
      </c>
      <c r="Y15">
        <f>Y14*(1-AB2) + MAX(0,J14-J15)</f>
        <v>0</v>
      </c>
      <c r="Z15">
        <f t="shared" si="9"/>
        <v>2.2511316931440448</v>
      </c>
    </row>
    <row r="16" spans="1:28" ht="16" customHeight="1" x14ac:dyDescent="0.2">
      <c r="A16" s="15" t="s">
        <v>9</v>
      </c>
      <c r="B16" s="2">
        <v>15</v>
      </c>
      <c r="C16" s="2">
        <f t="shared" si="0"/>
        <v>70</v>
      </c>
      <c r="D16" s="2">
        <f t="shared" si="1"/>
        <v>0.59997176004285491</v>
      </c>
      <c r="E16" s="2">
        <f t="shared" si="2"/>
        <v>41.998023202999846</v>
      </c>
      <c r="F16" s="2">
        <f>IFERROR(INDEX('3_GrowthInputs'!$F$2:$F$201, MATCH(Q16, '3_GrowthInputs'!$G$2:$G$201, 0)), NA())</f>
        <v>51.663062956823119</v>
      </c>
      <c r="G16" s="2">
        <f t="shared" si="3"/>
        <v>2.1697465167986993</v>
      </c>
      <c r="H16" s="2">
        <f t="shared" si="4"/>
        <v>0.31897868075946689</v>
      </c>
      <c r="I16" s="2">
        <f t="shared" si="5"/>
        <v>0.69210288151089761</v>
      </c>
      <c r="J16" s="2">
        <f t="shared" si="6"/>
        <v>2.8618493983095972</v>
      </c>
      <c r="K16" s="23">
        <f t="shared" si="7"/>
        <v>4.9319204630868718</v>
      </c>
      <c r="Q16" t="str">
        <f t="shared" si="8"/>
        <v>Cashew|15</v>
      </c>
      <c r="Y16">
        <f>Y15*(1-AB2) + MAX(0,J15-J16)</f>
        <v>0</v>
      </c>
      <c r="Z16">
        <f t="shared" si="9"/>
        <v>2.8618493983095972</v>
      </c>
    </row>
    <row r="17" spans="1:26" ht="16" customHeight="1" x14ac:dyDescent="0.2">
      <c r="A17" s="15" t="s">
        <v>9</v>
      </c>
      <c r="B17" s="2">
        <v>16</v>
      </c>
      <c r="C17" s="2">
        <f t="shared" si="0"/>
        <v>70</v>
      </c>
      <c r="D17" s="2">
        <f t="shared" si="1"/>
        <v>0.5939720424424263</v>
      </c>
      <c r="E17" s="2">
        <f t="shared" si="2"/>
        <v>41.57804297096984</v>
      </c>
      <c r="F17" s="2">
        <f>IFERROR(INDEX('3_GrowthInputs'!$F$2:$F$201, MATCH(Q17, '3_GrowthInputs'!$G$2:$G$201, 0)), NA())</f>
        <v>64.817597167438507</v>
      </c>
      <c r="G17" s="2">
        <f t="shared" si="3"/>
        <v>2.6949888403027713</v>
      </c>
      <c r="H17" s="2">
        <f t="shared" si="4"/>
        <v>0.31387523326657235</v>
      </c>
      <c r="I17" s="2">
        <f t="shared" si="5"/>
        <v>0.84589025090084169</v>
      </c>
      <c r="J17" s="2">
        <f t="shared" si="6"/>
        <v>3.540879091203613</v>
      </c>
      <c r="K17" s="23">
        <f t="shared" si="7"/>
        <v>6.1021149671742254</v>
      </c>
      <c r="Q17" t="str">
        <f t="shared" si="8"/>
        <v>Cashew|16</v>
      </c>
      <c r="Y17">
        <f>Y16*(1-AB2) + MAX(0,J16-J17)</f>
        <v>0</v>
      </c>
      <c r="Z17">
        <f t="shared" si="9"/>
        <v>3.540879091203613</v>
      </c>
    </row>
    <row r="18" spans="1:26" ht="16" customHeight="1" x14ac:dyDescent="0.2">
      <c r="A18" s="15" t="s">
        <v>9</v>
      </c>
      <c r="B18" s="2">
        <v>17</v>
      </c>
      <c r="C18" s="2">
        <f t="shared" si="0"/>
        <v>70</v>
      </c>
      <c r="D18" s="2">
        <f t="shared" si="1"/>
        <v>0.58803232201800204</v>
      </c>
      <c r="E18" s="2">
        <f t="shared" si="2"/>
        <v>41.162262541260141</v>
      </c>
      <c r="F18" s="2">
        <f>IFERROR(INDEX('3_GrowthInputs'!$F$2:$F$201, MATCH(Q18, '3_GrowthInputs'!$G$2:$G$201, 0)), NA())</f>
        <v>79.188626769750428</v>
      </c>
      <c r="G18" s="2">
        <f t="shared" si="3"/>
        <v>3.2595830453783283</v>
      </c>
      <c r="H18" s="2">
        <f t="shared" si="4"/>
        <v>0.30946478087432427</v>
      </c>
      <c r="I18" s="2">
        <f t="shared" si="5"/>
        <v>1.0087261528796669</v>
      </c>
      <c r="J18" s="2">
        <f t="shared" si="6"/>
        <v>4.2683091982579953</v>
      </c>
      <c r="K18" s="23">
        <f t="shared" si="7"/>
        <v>7.3557195183312771</v>
      </c>
      <c r="Q18" t="str">
        <f t="shared" si="8"/>
        <v>Cashew|17</v>
      </c>
      <c r="Y18">
        <f>Y17*(1-AB2) + MAX(0,J17-J18)</f>
        <v>0</v>
      </c>
      <c r="Z18">
        <f t="shared" si="9"/>
        <v>4.2683091982579953</v>
      </c>
    </row>
    <row r="19" spans="1:26" ht="16" customHeight="1" x14ac:dyDescent="0.2">
      <c r="A19" s="15" t="s">
        <v>9</v>
      </c>
      <c r="B19" s="2">
        <v>18</v>
      </c>
      <c r="C19" s="2">
        <f t="shared" si="0"/>
        <v>70</v>
      </c>
      <c r="D19" s="2">
        <f t="shared" si="1"/>
        <v>0.58215199879782209</v>
      </c>
      <c r="E19" s="2">
        <f t="shared" si="2"/>
        <v>40.750639915847543</v>
      </c>
      <c r="F19" s="2">
        <f>IFERROR(INDEX('3_GrowthInputs'!$F$2:$F$201, MATCH(Q19, '3_GrowthInputs'!$G$2:$G$201, 0)), NA())</f>
        <v>94.378165631223922</v>
      </c>
      <c r="G19" s="2">
        <f t="shared" si="3"/>
        <v>3.8459706435562242</v>
      </c>
      <c r="H19" s="2">
        <f t="shared" si="4"/>
        <v>0.30567930928326587</v>
      </c>
      <c r="I19" s="2">
        <f t="shared" si="5"/>
        <v>1.1756336498459841</v>
      </c>
      <c r="J19" s="2">
        <f t="shared" si="6"/>
        <v>5.0216042934022083</v>
      </c>
      <c r="K19" s="23">
        <f t="shared" si="7"/>
        <v>8.6538980656298055</v>
      </c>
      <c r="Q19" t="str">
        <f t="shared" si="8"/>
        <v>Cashew|18</v>
      </c>
      <c r="Y19">
        <f>Y18*(1-AB2) + MAX(0,J18-J19)</f>
        <v>0</v>
      </c>
      <c r="Z19">
        <f t="shared" si="9"/>
        <v>5.0216042934022083</v>
      </c>
    </row>
    <row r="20" spans="1:26" ht="16" customHeight="1" x14ac:dyDescent="0.2">
      <c r="A20" s="15" t="s">
        <v>9</v>
      </c>
      <c r="B20" s="2">
        <v>19</v>
      </c>
      <c r="C20" s="2">
        <f t="shared" si="0"/>
        <v>70</v>
      </c>
      <c r="D20" s="2">
        <f t="shared" si="1"/>
        <v>0.57633047880984378</v>
      </c>
      <c r="E20" s="2">
        <f t="shared" si="2"/>
        <v>40.343133516689065</v>
      </c>
      <c r="F20" s="2">
        <f>IFERROR(INDEX('3_GrowthInputs'!$F$2:$F$201, MATCH(Q20, '3_GrowthInputs'!$G$2:$G$201, 0)), NA())</f>
        <v>109.90193102834314</v>
      </c>
      <c r="G20" s="2">
        <f t="shared" si="3"/>
        <v>4.4337882772184001</v>
      </c>
      <c r="H20" s="2">
        <f t="shared" si="4"/>
        <v>0.30246172924724135</v>
      </c>
      <c r="I20" s="2">
        <f t="shared" si="5"/>
        <v>1.3410512694436243</v>
      </c>
      <c r="J20" s="2">
        <f t="shared" si="6"/>
        <v>5.7748395466620241</v>
      </c>
      <c r="K20" s="23">
        <f t="shared" si="7"/>
        <v>9.9519734854142197</v>
      </c>
      <c r="Q20" t="str">
        <f t="shared" si="8"/>
        <v>Cashew|19</v>
      </c>
      <c r="Y20">
        <f>Y19*(1-AB2) + MAX(0,J19-J20)</f>
        <v>0</v>
      </c>
      <c r="Z20">
        <f t="shared" si="9"/>
        <v>5.7748395466620241</v>
      </c>
    </row>
    <row r="21" spans="1:26" ht="16" customHeight="1" x14ac:dyDescent="0.2">
      <c r="A21" s="15" t="s">
        <v>9</v>
      </c>
      <c r="B21" s="2">
        <v>20</v>
      </c>
      <c r="C21" s="2">
        <f t="shared" si="0"/>
        <v>70</v>
      </c>
      <c r="D21" s="2">
        <f t="shared" si="1"/>
        <v>0.57056717402174539</v>
      </c>
      <c r="E21" s="2">
        <f t="shared" si="2"/>
        <v>39.939702181522179</v>
      </c>
      <c r="F21" s="2">
        <f>IFERROR(INDEX('3_GrowthInputs'!$F$2:$F$201, MATCH(Q21, '3_GrowthInputs'!$G$2:$G$201, 0)), NA())</f>
        <v>125.31585253453295</v>
      </c>
      <c r="G21" s="2">
        <f t="shared" si="3"/>
        <v>5.0050778288527971</v>
      </c>
      <c r="H21" s="2">
        <f t="shared" si="4"/>
        <v>0.2997466382138636</v>
      </c>
      <c r="I21" s="2">
        <f t="shared" si="5"/>
        <v>1.5002552531973692</v>
      </c>
      <c r="J21" s="2">
        <f t="shared" si="6"/>
        <v>6.505333082050166</v>
      </c>
      <c r="K21" s="23">
        <f t="shared" si="7"/>
        <v>11.210857344733117</v>
      </c>
      <c r="Q21" t="str">
        <f t="shared" si="8"/>
        <v>Cashew|20</v>
      </c>
      <c r="Y21">
        <f>Y20*(1-AB2) + MAX(0,J20-J21)</f>
        <v>0</v>
      </c>
      <c r="Z21">
        <f t="shared" si="9"/>
        <v>6.505333082050166</v>
      </c>
    </row>
    <row r="22" spans="1:26" ht="16" customHeight="1" x14ac:dyDescent="0.2">
      <c r="A22" s="15" t="s">
        <v>9</v>
      </c>
      <c r="B22" s="2">
        <v>21</v>
      </c>
      <c r="C22" s="2">
        <f t="shared" si="0"/>
        <v>70</v>
      </c>
      <c r="D22" s="2">
        <f t="shared" si="1"/>
        <v>0.56200866641141922</v>
      </c>
      <c r="E22" s="2">
        <f t="shared" si="2"/>
        <v>39.340606648799344</v>
      </c>
      <c r="F22" s="2">
        <f>IFERROR(INDEX('3_GrowthInputs'!$F$2:$F$201, MATCH(Q22, '3_GrowthInputs'!$G$2:$G$201, 0)), NA())</f>
        <v>140.23300411236883</v>
      </c>
      <c r="G22" s="2">
        <f t="shared" si="3"/>
        <v>5.5168514539641631</v>
      </c>
      <c r="H22" s="2">
        <f t="shared" si="4"/>
        <v>0.29758336827033133</v>
      </c>
      <c r="I22" s="2">
        <f t="shared" si="5"/>
        <v>1.6417232379177304</v>
      </c>
      <c r="J22" s="2">
        <f t="shared" si="6"/>
        <v>7.1585746918818938</v>
      </c>
      <c r="K22" s="23">
        <f t="shared" si="7"/>
        <v>12.336610385676462</v>
      </c>
      <c r="Q22" t="str">
        <f t="shared" si="8"/>
        <v>Cashew|21</v>
      </c>
      <c r="Y22">
        <f>Y21*(1-AB2) + MAX(0,J21-J22)</f>
        <v>0</v>
      </c>
      <c r="Z22">
        <f t="shared" si="9"/>
        <v>7.1585746918818938</v>
      </c>
    </row>
    <row r="23" spans="1:26" ht="16" customHeight="1" x14ac:dyDescent="0.2">
      <c r="A23" s="15" t="s">
        <v>9</v>
      </c>
      <c r="B23" s="2">
        <v>22</v>
      </c>
      <c r="C23" s="2">
        <f t="shared" si="0"/>
        <v>70</v>
      </c>
      <c r="D23" s="2">
        <f t="shared" si="1"/>
        <v>0.5535785364152479</v>
      </c>
      <c r="E23" s="2">
        <f t="shared" si="2"/>
        <v>38.750497549067354</v>
      </c>
      <c r="F23" s="2">
        <f>IFERROR(INDEX('3_GrowthInputs'!$F$2:$F$201, MATCH(Q23, '3_GrowthInputs'!$G$2:$G$201, 0)), NA())</f>
        <v>154.31622898137013</v>
      </c>
      <c r="G23" s="2">
        <f t="shared" si="3"/>
        <v>5.9798306529238996</v>
      </c>
      <c r="H23" s="2">
        <f t="shared" si="4"/>
        <v>0.29580453920583138</v>
      </c>
      <c r="I23" s="2">
        <f t="shared" si="5"/>
        <v>1.7688610508170599</v>
      </c>
      <c r="J23" s="2">
        <f t="shared" si="6"/>
        <v>7.7486917037409597</v>
      </c>
      <c r="K23" s="23">
        <f t="shared" si="7"/>
        <v>13.353578702780252</v>
      </c>
      <c r="Q23" t="str">
        <f t="shared" si="8"/>
        <v>Cashew|22</v>
      </c>
      <c r="Y23">
        <f>Y22*(1-AB2) + MAX(0,J22-J23)</f>
        <v>0</v>
      </c>
      <c r="Z23">
        <f t="shared" si="9"/>
        <v>7.7486917037409597</v>
      </c>
    </row>
    <row r="24" spans="1:26" ht="16" customHeight="1" x14ac:dyDescent="0.2">
      <c r="A24" s="15" t="s">
        <v>9</v>
      </c>
      <c r="B24" s="2">
        <v>23</v>
      </c>
      <c r="C24" s="2">
        <f t="shared" si="0"/>
        <v>70</v>
      </c>
      <c r="D24" s="2">
        <f t="shared" si="1"/>
        <v>0.54527485836901923</v>
      </c>
      <c r="E24" s="2">
        <f t="shared" si="2"/>
        <v>38.169240085831348</v>
      </c>
      <c r="F24" s="2">
        <f>IFERROR(INDEX('3_GrowthInputs'!$F$2:$F$201, MATCH(Q24, '3_GrowthInputs'!$G$2:$G$201, 0)), NA())</f>
        <v>167.34989139176918</v>
      </c>
      <c r="G24" s="2">
        <f t="shared" si="3"/>
        <v>6.3876181828702387</v>
      </c>
      <c r="H24" s="2">
        <f t="shared" si="4"/>
        <v>0.2943562553173642</v>
      </c>
      <c r="I24" s="2">
        <f t="shared" si="5"/>
        <v>1.8802353687067899</v>
      </c>
      <c r="J24" s="2">
        <f t="shared" si="6"/>
        <v>8.2678535515770282</v>
      </c>
      <c r="K24" s="23">
        <f t="shared" si="7"/>
        <v>14.248267620551076</v>
      </c>
      <c r="Q24" t="str">
        <f t="shared" si="8"/>
        <v>Cashew|23</v>
      </c>
      <c r="Y24">
        <f>Y23*(1-AB2) + MAX(0,J23-J24)</f>
        <v>0</v>
      </c>
      <c r="Z24">
        <f t="shared" si="9"/>
        <v>8.2678535515770282</v>
      </c>
    </row>
    <row r="25" spans="1:26" ht="16" customHeight="1" x14ac:dyDescent="0.2">
      <c r="A25" s="15" t="s">
        <v>9</v>
      </c>
      <c r="B25" s="2">
        <v>24</v>
      </c>
      <c r="C25" s="2">
        <f t="shared" si="0"/>
        <v>70</v>
      </c>
      <c r="D25" s="2">
        <f t="shared" si="1"/>
        <v>0.53709573549348388</v>
      </c>
      <c r="E25" s="2">
        <f t="shared" si="2"/>
        <v>37.596701484543871</v>
      </c>
      <c r="F25" s="2">
        <f>IFERROR(INDEX('3_GrowthInputs'!$F$2:$F$201, MATCH(Q25, '3_GrowthInputs'!$G$2:$G$201, 0)), NA())</f>
        <v>179.17750892144687</v>
      </c>
      <c r="G25" s="2">
        <f t="shared" si="3"/>
        <v>6.7364833156638344</v>
      </c>
      <c r="H25" s="2">
        <f t="shared" si="4"/>
        <v>0.2931939835602464</v>
      </c>
      <c r="I25" s="2">
        <f t="shared" si="5"/>
        <v>1.9750963785066165</v>
      </c>
      <c r="J25" s="2">
        <f t="shared" si="6"/>
        <v>8.7115796941704513</v>
      </c>
      <c r="K25" s="23">
        <f t="shared" si="7"/>
        <v>15.012955672953744</v>
      </c>
      <c r="Q25" t="str">
        <f t="shared" si="8"/>
        <v>Cashew|24</v>
      </c>
      <c r="Y25">
        <f>Y24*(1-AB2) + MAX(0,J24-J25)</f>
        <v>0</v>
      </c>
      <c r="Z25">
        <f t="shared" si="9"/>
        <v>8.7115796941704513</v>
      </c>
    </row>
    <row r="26" spans="1:26" ht="16" customHeight="1" x14ac:dyDescent="0.2">
      <c r="A26" s="15" t="s">
        <v>9</v>
      </c>
      <c r="B26" s="2">
        <v>25</v>
      </c>
      <c r="C26" s="2">
        <f t="shared" si="0"/>
        <v>70</v>
      </c>
      <c r="D26" s="2">
        <f t="shared" si="1"/>
        <v>0.52903929946108164</v>
      </c>
      <c r="E26" s="2">
        <f t="shared" si="2"/>
        <v>37.032750962275713</v>
      </c>
      <c r="F26" s="2">
        <f>IFERROR(INDEX('3_GrowthInputs'!$F$2:$F$201, MATCH(Q26, '3_GrowthInputs'!$G$2:$G$201, 0)), NA())</f>
        <v>189.74598983988366</v>
      </c>
      <c r="G26" s="2">
        <f t="shared" si="3"/>
        <v>7.0268159878309095</v>
      </c>
      <c r="H26" s="2">
        <f t="shared" si="4"/>
        <v>0.29227498623211057</v>
      </c>
      <c r="I26" s="2">
        <f t="shared" si="5"/>
        <v>2.0537625460988536</v>
      </c>
      <c r="J26" s="2">
        <f t="shared" si="6"/>
        <v>9.0805785339297636</v>
      </c>
      <c r="K26" s="23">
        <f t="shared" si="7"/>
        <v>15.64886367347229</v>
      </c>
      <c r="Q26" t="str">
        <f t="shared" si="8"/>
        <v>Cashew|25</v>
      </c>
      <c r="Y26">
        <f>Y25*(1-AB2) + MAX(0,J25-J26)</f>
        <v>0</v>
      </c>
      <c r="Z26">
        <f t="shared" si="9"/>
        <v>9.0805785339297636</v>
      </c>
    </row>
    <row r="27" spans="1:26" ht="16" customHeight="1" x14ac:dyDescent="0.2">
      <c r="A27" s="15" t="s">
        <v>9</v>
      </c>
      <c r="B27" s="2">
        <v>26</v>
      </c>
      <c r="C27" s="2">
        <f t="shared" si="0"/>
        <v>70</v>
      </c>
      <c r="D27" s="2">
        <f t="shared" si="1"/>
        <v>0.52110370996916544</v>
      </c>
      <c r="E27" s="2">
        <f t="shared" si="2"/>
        <v>36.477259697841582</v>
      </c>
      <c r="F27" s="2">
        <f>IFERROR(INDEX('3_GrowthInputs'!$F$2:$F$201, MATCH(Q27, '3_GrowthInputs'!$G$2:$G$201, 0)), NA())</f>
        <v>199.06328324157346</v>
      </c>
      <c r="G27" s="2">
        <f t="shared" si="3"/>
        <v>7.2612830791078711</v>
      </c>
      <c r="H27" s="2">
        <f t="shared" si="4"/>
        <v>0.29156211540801508</v>
      </c>
      <c r="I27" s="2">
        <f t="shared" si="5"/>
        <v>2.1171150551211162</v>
      </c>
      <c r="J27" s="2">
        <f t="shared" si="6"/>
        <v>9.3783981342289877</v>
      </c>
      <c r="K27" s="23">
        <f t="shared" si="7"/>
        <v>16.162106117987953</v>
      </c>
      <c r="Q27" t="str">
        <f t="shared" si="8"/>
        <v>Cashew|26</v>
      </c>
      <c r="Y27">
        <f>Y26*(1-AB2) + MAX(0,J26-J27)</f>
        <v>0</v>
      </c>
      <c r="Z27">
        <f t="shared" si="9"/>
        <v>9.3783981342289877</v>
      </c>
    </row>
    <row r="28" spans="1:26" ht="16" customHeight="1" x14ac:dyDescent="0.2">
      <c r="A28" s="15" t="s">
        <v>9</v>
      </c>
      <c r="B28" s="2">
        <v>27</v>
      </c>
      <c r="C28" s="2">
        <f t="shared" si="0"/>
        <v>70</v>
      </c>
      <c r="D28" s="2">
        <f t="shared" si="1"/>
        <v>0.5132871543196279</v>
      </c>
      <c r="E28" s="2">
        <f t="shared" si="2"/>
        <v>35.93010080237395</v>
      </c>
      <c r="F28" s="2">
        <f>IFERROR(INDEX('3_GrowthInputs'!$F$2:$F$201, MATCH(Q28, '3_GrowthInputs'!$G$2:$G$201, 0)), NA())</f>
        <v>207.18847428638651</v>
      </c>
      <c r="G28" s="2">
        <f t="shared" si="3"/>
        <v>7.4443027661999306</v>
      </c>
      <c r="H28" s="2">
        <f t="shared" si="4"/>
        <v>0.29102264226150248</v>
      </c>
      <c r="I28" s="2">
        <f t="shared" si="5"/>
        <v>2.1664606608141157</v>
      </c>
      <c r="J28" s="2">
        <f t="shared" si="6"/>
        <v>9.6107634270140458</v>
      </c>
      <c r="K28" s="23">
        <f t="shared" si="7"/>
        <v>16.562548972554204</v>
      </c>
      <c r="Q28" t="str">
        <f t="shared" si="8"/>
        <v>Cashew|27</v>
      </c>
      <c r="Y28">
        <f>Y27*(1-AB2) + MAX(0,J27-J28)</f>
        <v>0</v>
      </c>
      <c r="Z28">
        <f t="shared" si="9"/>
        <v>9.6107634270140458</v>
      </c>
    </row>
    <row r="29" spans="1:26" ht="16" customHeight="1" x14ac:dyDescent="0.2">
      <c r="A29" s="15" t="s">
        <v>9</v>
      </c>
      <c r="B29" s="2">
        <v>28</v>
      </c>
      <c r="C29" s="2">
        <f t="shared" si="0"/>
        <v>70</v>
      </c>
      <c r="D29" s="2">
        <f t="shared" si="1"/>
        <v>0.5055878470048335</v>
      </c>
      <c r="E29" s="2">
        <f t="shared" si="2"/>
        <v>35.391149290338348</v>
      </c>
      <c r="F29" s="2">
        <f>IFERROR(INDEX('3_GrowthInputs'!$F$2:$F$201, MATCH(Q29, '3_GrowthInputs'!$G$2:$G$201, 0)), NA())</f>
        <v>214.19668429673487</v>
      </c>
      <c r="G29" s="2">
        <f t="shared" si="3"/>
        <v>7.5806668314412153</v>
      </c>
      <c r="H29" s="2">
        <f t="shared" si="4"/>
        <v>0.2906298754848643</v>
      </c>
      <c r="I29" s="2">
        <f t="shared" si="5"/>
        <v>2.203168257314001</v>
      </c>
      <c r="J29" s="2">
        <f t="shared" si="6"/>
        <v>9.7838350887552163</v>
      </c>
      <c r="K29" s="23">
        <f t="shared" si="7"/>
        <v>16.860809136288154</v>
      </c>
      <c r="Q29" t="str">
        <f t="shared" si="8"/>
        <v>Cashew|28</v>
      </c>
      <c r="Y29">
        <f>Y28*(1-AB2) + MAX(0,J28-J29)</f>
        <v>0</v>
      </c>
      <c r="Z29">
        <f t="shared" si="9"/>
        <v>9.7838350887552163</v>
      </c>
    </row>
    <row r="30" spans="1:26" ht="16" customHeight="1" x14ac:dyDescent="0.2">
      <c r="A30" s="15" t="s">
        <v>9</v>
      </c>
      <c r="B30" s="2">
        <v>29</v>
      </c>
      <c r="C30" s="2">
        <f t="shared" si="0"/>
        <v>70</v>
      </c>
      <c r="D30" s="2">
        <f t="shared" si="1"/>
        <v>0.49800402929976101</v>
      </c>
      <c r="E30" s="2">
        <f t="shared" si="2"/>
        <v>34.860282050983272</v>
      </c>
      <c r="F30" s="2">
        <f>IFERROR(INDEX('3_GrowthInputs'!$F$2:$F$201, MATCH(Q30, '3_GrowthInputs'!$G$2:$G$201, 0)), NA())</f>
        <v>220.18949487972355</v>
      </c>
      <c r="G30" s="2">
        <f t="shared" si="3"/>
        <v>7.6758678961706996</v>
      </c>
      <c r="H30" s="2">
        <f t="shared" si="4"/>
        <v>0.29036014308515362</v>
      </c>
      <c r="I30" s="2">
        <f t="shared" si="5"/>
        <v>2.2287661006348616</v>
      </c>
      <c r="J30" s="2">
        <f t="shared" si="6"/>
        <v>9.9046339968055612</v>
      </c>
      <c r="K30" s="23">
        <f t="shared" si="7"/>
        <v>17.068985921161584</v>
      </c>
      <c r="Q30" t="str">
        <f t="shared" si="8"/>
        <v>Cashew|29</v>
      </c>
      <c r="Y30">
        <f>Y29*(1-AB2) + MAX(0,J29-J30)</f>
        <v>0</v>
      </c>
      <c r="Z30">
        <f t="shared" si="9"/>
        <v>9.9046339968055612</v>
      </c>
    </row>
    <row r="31" spans="1:26" ht="16" customHeight="1" x14ac:dyDescent="0.2">
      <c r="A31" s="15" t="s">
        <v>9</v>
      </c>
      <c r="B31" s="2">
        <v>30</v>
      </c>
      <c r="C31" s="2">
        <f t="shared" si="0"/>
        <v>70</v>
      </c>
      <c r="D31" s="2">
        <f t="shared" si="1"/>
        <v>0.49053396886026462</v>
      </c>
      <c r="E31" s="2">
        <f t="shared" si="2"/>
        <v>34.337377820218521</v>
      </c>
      <c r="F31" s="2">
        <f>IFERROR(INDEX('3_GrowthInputs'!$F$2:$F$201, MATCH(Q31, '3_GrowthInputs'!$G$2:$G$201, 0)), NA())</f>
        <v>225.27824723304286</v>
      </c>
      <c r="G31" s="2">
        <f t="shared" si="3"/>
        <v>7.7354642899175907</v>
      </c>
      <c r="H31" s="2">
        <f t="shared" si="4"/>
        <v>0.29019311213478971</v>
      </c>
      <c r="I31" s="2">
        <f t="shared" si="5"/>
        <v>2.2447784560987167</v>
      </c>
      <c r="J31" s="2">
        <f t="shared" si="6"/>
        <v>9.980242746016307</v>
      </c>
      <c r="K31" s="23">
        <f t="shared" si="7"/>
        <v>17.199284998968103</v>
      </c>
      <c r="Q31" t="str">
        <f t="shared" si="8"/>
        <v>Cashew|30</v>
      </c>
      <c r="Y31">
        <f>Y30*(1-AB2) + MAX(0,J30-J31)</f>
        <v>0</v>
      </c>
      <c r="Z31">
        <f t="shared" si="9"/>
        <v>9.980242746016307</v>
      </c>
    </row>
    <row r="32" spans="1:26" ht="16" customHeight="1" x14ac:dyDescent="0.2">
      <c r="A32" s="15" t="s">
        <v>9</v>
      </c>
      <c r="B32" s="2">
        <v>31</v>
      </c>
      <c r="C32" s="2">
        <f t="shared" si="0"/>
        <v>70</v>
      </c>
      <c r="D32" s="2">
        <f t="shared" si="1"/>
        <v>0.48317595932736068</v>
      </c>
      <c r="E32" s="2">
        <f t="shared" si="2"/>
        <v>33.822317152915247</v>
      </c>
      <c r="F32" s="2">
        <f>IFERROR(INDEX('3_GrowthInputs'!$F$2:$F$201, MATCH(Q32, '3_GrowthInputs'!$G$2:$G$201, 0)), NA())</f>
        <v>229.5890846678912</v>
      </c>
      <c r="G32" s="2">
        <f t="shared" si="3"/>
        <v>7.765234836484928</v>
      </c>
      <c r="H32" s="2">
        <f t="shared" si="4"/>
        <v>0.29011019123025783</v>
      </c>
      <c r="I32" s="2">
        <f t="shared" si="5"/>
        <v>2.2527737633605023</v>
      </c>
      <c r="J32" s="2">
        <f t="shared" si="6"/>
        <v>10.01800859984543</v>
      </c>
      <c r="K32" s="23">
        <f t="shared" si="7"/>
        <v>17.264368153733621</v>
      </c>
      <c r="Q32" t="str">
        <f t="shared" si="8"/>
        <v>Cashew|31</v>
      </c>
      <c r="Y32">
        <f>Y31*(1-AB2) + MAX(0,J31-J32)</f>
        <v>0</v>
      </c>
      <c r="Z32">
        <f t="shared" si="9"/>
        <v>10.01800859984543</v>
      </c>
    </row>
    <row r="33" spans="1:26" ht="16" customHeight="1" x14ac:dyDescent="0.2">
      <c r="A33" s="15" t="s">
        <v>9</v>
      </c>
      <c r="B33" s="2">
        <v>32</v>
      </c>
      <c r="C33" s="2">
        <f t="shared" si="0"/>
        <v>70</v>
      </c>
      <c r="D33" s="2">
        <f t="shared" si="1"/>
        <v>0.47592831993745027</v>
      </c>
      <c r="E33" s="2">
        <f t="shared" si="2"/>
        <v>33.31498239562152</v>
      </c>
      <c r="F33" s="2">
        <f>IFERROR(INDEX('3_GrowthInputs'!$F$2:$F$201, MATCH(Q33, '3_GrowthInputs'!$G$2:$G$201, 0)), NA())</f>
        <v>233.2045365886475</v>
      </c>
      <c r="G33" s="2">
        <f t="shared" si="3"/>
        <v>7.7692050310298661</v>
      </c>
      <c r="H33" s="2">
        <f t="shared" si="4"/>
        <v>0.29009915873224146</v>
      </c>
      <c r="I33" s="2">
        <f t="shared" si="5"/>
        <v>2.2538398435200619</v>
      </c>
      <c r="J33" s="2">
        <f t="shared" si="6"/>
        <v>10.023044874549928</v>
      </c>
      <c r="K33" s="23">
        <f t="shared" si="7"/>
        <v>17.27304733380771</v>
      </c>
      <c r="Q33" t="str">
        <f t="shared" si="8"/>
        <v>Cashew|32</v>
      </c>
      <c r="Y33">
        <f>Y32*(1-AB2) + MAX(0,J32-J33)</f>
        <v>0</v>
      </c>
      <c r="Z33">
        <f t="shared" si="9"/>
        <v>10.023044874549928</v>
      </c>
    </row>
    <row r="34" spans="1:26" ht="16" customHeight="1" x14ac:dyDescent="0.2">
      <c r="A34" s="15" t="s">
        <v>9</v>
      </c>
      <c r="B34" s="2">
        <v>33</v>
      </c>
      <c r="C34" s="2">
        <f t="shared" ref="C34:C65" si="10">INDEX($N$2:$N$6, MATCH(A34, $M$2:$M$6, 0))</f>
        <v>70</v>
      </c>
      <c r="D34" s="2">
        <f t="shared" ref="D34:D65" si="11">IF(B34=1,INDEX($T$2:$T$6, MATCH(A34, $S$2:$S$6, 0)),INDEX($T$2:$T$6, MATCH(A34, $S$2:$S$6, 0))*POWER(INDEX($U$2:$U$6, MATCH(A34, $S$2:$S$6, 0)),MIN(B34-1,2))*POWER(INDEX($V$2:$V$6, MATCH(A34, $S$2:$S$6, 0)),MAX(MIN(B34-3,17),0))*POWER(INDEX($W$2:$W$6, MATCH(A34, $S$2:$S$6, 0)),MAX(B34-20,0)))</f>
        <v>0.46878939513838846</v>
      </c>
      <c r="E34" s="2">
        <f t="shared" ref="E34:E65" si="12">C34*D34</f>
        <v>32.815257659687191</v>
      </c>
      <c r="F34" s="2">
        <f>IFERROR(INDEX('3_GrowthInputs'!$F$2:$F$201, MATCH(Q34, '3_GrowthInputs'!$G$2:$G$201, 0)), NA())</f>
        <v>236.25602716173364</v>
      </c>
      <c r="G34" s="2">
        <f t="shared" ref="G34:G65" si="13">IF(OR(ISNA(E34),ISNA(F34)),NA(),E34*F34/1000)</f>
        <v>7.7528024049663449</v>
      </c>
      <c r="H34" s="2">
        <f t="shared" ref="H34:H65" si="14">IF(ISNA(G34),NA(),IF(G34&gt;0,EXP(-1.085+0.9256*LN(G34))/G34,0))</f>
        <v>0.29014477809394762</v>
      </c>
      <c r="I34" s="2">
        <f t="shared" ref="I34:I65" si="15">IF(OR(ISNA(G34),ISNA(H34)),NA(),G34*H34)</f>
        <v>2.2494351333951834</v>
      </c>
      <c r="J34" s="2">
        <f t="shared" ref="J34:J65" si="16">IF(OR(ISNA(G34),ISNA(I34)),NA(),G34+I34)</f>
        <v>10.002237538361529</v>
      </c>
      <c r="K34" s="23">
        <f t="shared" ref="K34:K65" si="17">Z34*0.47*(44/12)</f>
        <v>17.27304733380771</v>
      </c>
      <c r="Q34" t="str">
        <f t="shared" ref="Q34:Q65" si="18">A34&amp;"|"&amp;B34</f>
        <v>Cashew|33</v>
      </c>
      <c r="Y34">
        <f>Y33*(1-AB2) + MAX(0,J33-J34)</f>
        <v>2.0807336188399361E-2</v>
      </c>
      <c r="Z34">
        <f t="shared" ref="Z34:Z65" si="19">J34+Y34</f>
        <v>10.023044874549928</v>
      </c>
    </row>
    <row r="35" spans="1:26" ht="16" customHeight="1" x14ac:dyDescent="0.2">
      <c r="A35" s="15" t="s">
        <v>9</v>
      </c>
      <c r="B35" s="2">
        <v>34</v>
      </c>
      <c r="C35" s="2">
        <f t="shared" si="10"/>
        <v>70</v>
      </c>
      <c r="D35" s="2">
        <f t="shared" si="11"/>
        <v>0.4617575542113127</v>
      </c>
      <c r="E35" s="2">
        <f t="shared" si="12"/>
        <v>32.323028794791888</v>
      </c>
      <c r="F35" s="2">
        <f>IFERROR(INDEX('3_GrowthInputs'!$F$2:$F$201, MATCH(Q35, '3_GrowthInputs'!$G$2:$G$201, 0)), NA())</f>
        <v>238.76599854034052</v>
      </c>
      <c r="G35" s="2">
        <f t="shared" si="13"/>
        <v>7.7176402460366642</v>
      </c>
      <c r="H35" s="2">
        <f t="shared" si="14"/>
        <v>0.29024292230130638</v>
      </c>
      <c r="I35" s="2">
        <f t="shared" si="15"/>
        <v>2.2399904582798547</v>
      </c>
      <c r="J35" s="2">
        <f t="shared" si="16"/>
        <v>9.957630704316518</v>
      </c>
      <c r="K35" s="23">
        <f t="shared" si="17"/>
        <v>17.269461536204574</v>
      </c>
      <c r="Q35" t="str">
        <f t="shared" si="18"/>
        <v>Cashew|34</v>
      </c>
      <c r="Y35">
        <f>Y34*(1-AB2) + MAX(0,J34-J35)</f>
        <v>6.3333436614570179E-2</v>
      </c>
      <c r="Z35">
        <f t="shared" si="19"/>
        <v>10.020964140931088</v>
      </c>
    </row>
    <row r="36" spans="1:26" ht="16" customHeight="1" x14ac:dyDescent="0.2">
      <c r="A36" s="15" t="s">
        <v>9</v>
      </c>
      <c r="B36" s="2">
        <v>35</v>
      </c>
      <c r="C36" s="2">
        <f t="shared" si="10"/>
        <v>70</v>
      </c>
      <c r="D36" s="2">
        <f t="shared" si="11"/>
        <v>0.45483119089814295</v>
      </c>
      <c r="E36" s="2">
        <f t="shared" si="12"/>
        <v>31.838183362870005</v>
      </c>
      <c r="F36" s="2">
        <f>IFERROR(INDEX('3_GrowthInputs'!$F$2:$F$201, MATCH(Q36, '3_GrowthInputs'!$G$2:$G$201, 0)), NA())</f>
        <v>240.87793035880847</v>
      </c>
      <c r="G36" s="2">
        <f t="shared" si="13"/>
        <v>7.6691157148323752</v>
      </c>
      <c r="H36" s="2">
        <f t="shared" si="14"/>
        <v>0.2903791552620868</v>
      </c>
      <c r="I36" s="2">
        <f t="shared" si="15"/>
        <v>2.2269513428802199</v>
      </c>
      <c r="J36" s="2">
        <f t="shared" si="16"/>
        <v>9.896067057712596</v>
      </c>
      <c r="K36" s="23">
        <f t="shared" si="17"/>
        <v>17.258547073961331</v>
      </c>
      <c r="Q36" t="str">
        <f t="shared" si="18"/>
        <v>Cashew|35</v>
      </c>
      <c r="Y36">
        <f>Y35*(1-AB2) + MAX(0,J35-J36)</f>
        <v>0.11856373955703516</v>
      </c>
      <c r="Z36">
        <f t="shared" si="19"/>
        <v>10.014630797269632</v>
      </c>
    </row>
    <row r="37" spans="1:26" ht="16" customHeight="1" x14ac:dyDescent="0.2">
      <c r="A37" s="15" t="s">
        <v>9</v>
      </c>
      <c r="B37" s="2">
        <v>36</v>
      </c>
      <c r="C37" s="2">
        <f t="shared" si="10"/>
        <v>70</v>
      </c>
      <c r="D37" s="2">
        <f t="shared" si="11"/>
        <v>0.44800872303467082</v>
      </c>
      <c r="E37" s="2">
        <f t="shared" si="12"/>
        <v>31.360610612426957</v>
      </c>
      <c r="F37" s="2">
        <f>IFERROR(INDEX('3_GrowthInputs'!$F$2:$F$201, MATCH(Q37, '3_GrowthInputs'!$G$2:$G$201, 0)), NA())</f>
        <v>242.64027260037804</v>
      </c>
      <c r="G37" s="2">
        <f t="shared" si="13"/>
        <v>7.6093471079135853</v>
      </c>
      <c r="H37" s="2">
        <f t="shared" si="14"/>
        <v>0.29054823457085144</v>
      </c>
      <c r="I37" s="2">
        <f t="shared" si="15"/>
        <v>2.2108823684411063</v>
      </c>
      <c r="J37" s="2">
        <f t="shared" si="16"/>
        <v>9.820229476354692</v>
      </c>
      <c r="K37" s="23">
        <f t="shared" si="17"/>
        <v>17.238114589511003</v>
      </c>
      <c r="Q37" t="str">
        <f t="shared" si="18"/>
        <v>Cashew|36</v>
      </c>
      <c r="Y37">
        <f>Y36*(1-AB2) + MAX(0,J36-J37)</f>
        <v>0.18254494695923562</v>
      </c>
      <c r="Z37">
        <f t="shared" si="19"/>
        <v>10.002774423313928</v>
      </c>
    </row>
    <row r="38" spans="1:26" ht="16" customHeight="1" x14ac:dyDescent="0.2">
      <c r="A38" s="15" t="s">
        <v>9</v>
      </c>
      <c r="B38" s="2">
        <v>37</v>
      </c>
      <c r="C38" s="2">
        <f t="shared" si="10"/>
        <v>70</v>
      </c>
      <c r="D38" s="2">
        <f t="shared" si="11"/>
        <v>0.44128859218915073</v>
      </c>
      <c r="E38" s="2">
        <f t="shared" si="12"/>
        <v>30.89020145324055</v>
      </c>
      <c r="F38" s="2">
        <f>IFERROR(INDEX('3_GrowthInputs'!$F$2:$F$201, MATCH(Q38, '3_GrowthInputs'!$G$2:$G$201, 0)), NA())</f>
        <v>244.08940509305</v>
      </c>
      <c r="G38" s="2">
        <f t="shared" si="13"/>
        <v>7.5399708959259542</v>
      </c>
      <c r="H38" s="2">
        <f t="shared" si="14"/>
        <v>0.29074629133947266</v>
      </c>
      <c r="I38" s="2">
        <f t="shared" si="15"/>
        <v>2.1922185747980323</v>
      </c>
      <c r="J38" s="2">
        <f t="shared" si="16"/>
        <v>9.732189470723986</v>
      </c>
      <c r="K38" s="23">
        <f t="shared" si="17"/>
        <v>17.206656010318362</v>
      </c>
      <c r="Q38" t="str">
        <f t="shared" si="18"/>
        <v>Cashew|37</v>
      </c>
      <c r="Y38">
        <f>Y37*(1-AB2) + MAX(0,J37-J38)</f>
        <v>0.25233045789401809</v>
      </c>
      <c r="Z38">
        <f t="shared" si="19"/>
        <v>9.9845199286180044</v>
      </c>
    </row>
    <row r="39" spans="1:26" ht="16" customHeight="1" x14ac:dyDescent="0.2">
      <c r="A39" s="15" t="s">
        <v>9</v>
      </c>
      <c r="B39" s="2">
        <v>38</v>
      </c>
      <c r="C39" s="2">
        <f t="shared" si="10"/>
        <v>70</v>
      </c>
      <c r="D39" s="2">
        <f t="shared" si="11"/>
        <v>0.4346692633063135</v>
      </c>
      <c r="E39" s="2">
        <f t="shared" si="12"/>
        <v>30.426848431441947</v>
      </c>
      <c r="F39" s="2">
        <f>IFERROR(INDEX('3_GrowthInputs'!$F$2:$F$201, MATCH(Q39, '3_GrowthInputs'!$G$2:$G$201, 0)), NA())</f>
        <v>245.29557202720468</v>
      </c>
      <c r="G39" s="2">
        <f t="shared" si="13"/>
        <v>7.4635711909756086</v>
      </c>
      <c r="H39" s="2">
        <f t="shared" si="14"/>
        <v>0.29096667698031459</v>
      </c>
      <c r="I39" s="2">
        <f t="shared" si="15"/>
        <v>2.1716505078441819</v>
      </c>
      <c r="J39" s="2">
        <f t="shared" si="16"/>
        <v>9.635221698819791</v>
      </c>
      <c r="K39" s="23">
        <f t="shared" si="17"/>
        <v>17.163171061407954</v>
      </c>
      <c r="Q39" t="str">
        <f t="shared" si="18"/>
        <v>Cashew|38</v>
      </c>
      <c r="Y39">
        <f>Y38*(1-AB2) + MAX(0,J38-J39)</f>
        <v>0.32406518400881135</v>
      </c>
      <c r="Z39">
        <f t="shared" si="19"/>
        <v>9.9592868828286019</v>
      </c>
    </row>
    <row r="40" spans="1:26" ht="16" customHeight="1" x14ac:dyDescent="0.2">
      <c r="A40" s="15" t="s">
        <v>9</v>
      </c>
      <c r="B40" s="2">
        <v>39</v>
      </c>
      <c r="C40" s="2">
        <f t="shared" si="10"/>
        <v>70</v>
      </c>
      <c r="D40" s="2">
        <f t="shared" si="11"/>
        <v>0.42814922435671882</v>
      </c>
      <c r="E40" s="2">
        <f t="shared" si="12"/>
        <v>29.970445704970317</v>
      </c>
      <c r="F40" s="2">
        <f>IFERROR(INDEX('3_GrowthInputs'!$F$2:$F$201, MATCH(Q40, '3_GrowthInputs'!$G$2:$G$201, 0)), NA())</f>
        <v>246.29792159621056</v>
      </c>
      <c r="G40" s="2">
        <f t="shared" si="13"/>
        <v>7.3816584864462644</v>
      </c>
      <c r="H40" s="2">
        <f t="shared" si="14"/>
        <v>0.29120567441473749</v>
      </c>
      <c r="I40" s="2">
        <f t="shared" si="15"/>
        <v>2.1495808378448547</v>
      </c>
      <c r="J40" s="2">
        <f t="shared" si="16"/>
        <v>9.5312393242911195</v>
      </c>
      <c r="K40" s="23">
        <f t="shared" si="17"/>
        <v>17.107323828030434</v>
      </c>
      <c r="Q40" t="str">
        <f t="shared" si="18"/>
        <v>Cashew|39</v>
      </c>
      <c r="Y40">
        <f>Y39*(1-AB2) + MAX(0,J39-J40)</f>
        <v>0.39564104013660167</v>
      </c>
      <c r="Z40">
        <f t="shared" si="19"/>
        <v>9.9268803644277206</v>
      </c>
    </row>
    <row r="41" spans="1:26" ht="16" customHeight="1" x14ac:dyDescent="0.2">
      <c r="A41" s="15" t="s">
        <v>9</v>
      </c>
      <c r="B41" s="2">
        <v>40</v>
      </c>
      <c r="C41" s="2">
        <f t="shared" si="10"/>
        <v>70</v>
      </c>
      <c r="D41" s="2">
        <f t="shared" si="11"/>
        <v>0.42172698599136804</v>
      </c>
      <c r="E41" s="2">
        <f t="shared" si="12"/>
        <v>29.520889019395764</v>
      </c>
      <c r="F41" s="2">
        <f>IFERROR(INDEX('3_GrowthInputs'!$F$2:$F$201, MATCH(Q41, '3_GrowthInputs'!$G$2:$G$201, 0)), NA())</f>
        <v>247.0905304566937</v>
      </c>
      <c r="G41" s="2">
        <f t="shared" si="13"/>
        <v>7.294332127355684</v>
      </c>
      <c r="H41" s="2">
        <f t="shared" si="14"/>
        <v>0.29146362593840497</v>
      </c>
      <c r="I41" s="2">
        <f t="shared" si="15"/>
        <v>2.126032490638087</v>
      </c>
      <c r="J41" s="2">
        <f t="shared" si="16"/>
        <v>9.420364617993771</v>
      </c>
      <c r="K41" s="23">
        <f t="shared" si="17"/>
        <v>17.03914168878023</v>
      </c>
      <c r="Q41" t="str">
        <f t="shared" si="18"/>
        <v>Cashew|40</v>
      </c>
      <c r="Y41">
        <f>Y40*(1-AB2) + MAX(0,J40-J41)</f>
        <v>0.46695164242029003</v>
      </c>
      <c r="Z41">
        <f t="shared" si="19"/>
        <v>9.8873162604140603</v>
      </c>
    </row>
    <row r="42" spans="1:26" ht="16" customHeight="1" x14ac:dyDescent="0.2">
      <c r="A42" s="15" t="s">
        <v>13</v>
      </c>
      <c r="B42" s="2">
        <v>1</v>
      </c>
      <c r="C42" s="2">
        <f t="shared" si="10"/>
        <v>70</v>
      </c>
      <c r="D42" s="2">
        <f t="shared" si="11"/>
        <v>0.75</v>
      </c>
      <c r="E42" s="2">
        <f t="shared" si="12"/>
        <v>52.5</v>
      </c>
      <c r="F42" s="2">
        <f>IFERROR(INDEX('3_GrowthInputs'!$F$2:$F$201, MATCH(Q42, '3_GrowthInputs'!$G$2:$G$201, 0)), NA())</f>
        <v>5.8351560765758037E-2</v>
      </c>
      <c r="G42" s="2">
        <f t="shared" si="13"/>
        <v>3.0634569402022967E-3</v>
      </c>
      <c r="H42" s="2">
        <f t="shared" si="14"/>
        <v>0.51977612932023243</v>
      </c>
      <c r="I42" s="2">
        <f t="shared" si="15"/>
        <v>1.5923117907175525E-3</v>
      </c>
      <c r="J42" s="2">
        <f t="shared" si="16"/>
        <v>4.6557687309198492E-3</v>
      </c>
      <c r="K42" s="23">
        <f t="shared" si="17"/>
        <v>8.0234414462852059E-3</v>
      </c>
      <c r="Q42" t="str">
        <f t="shared" si="18"/>
        <v>Dawadawa|1</v>
      </c>
      <c r="Y42">
        <v>0</v>
      </c>
      <c r="Z42">
        <f t="shared" si="19"/>
        <v>4.6557687309198492E-3</v>
      </c>
    </row>
    <row r="43" spans="1:26" ht="16" customHeight="1" x14ac:dyDescent="0.2">
      <c r="A43" s="15" t="s">
        <v>13</v>
      </c>
      <c r="B43" s="2">
        <v>2</v>
      </c>
      <c r="C43" s="2">
        <f t="shared" si="10"/>
        <v>70</v>
      </c>
      <c r="D43" s="2">
        <f t="shared" si="11"/>
        <v>0.72</v>
      </c>
      <c r="E43" s="2">
        <f t="shared" si="12"/>
        <v>50.4</v>
      </c>
      <c r="F43" s="2">
        <f>IFERROR(INDEX('3_GrowthInputs'!$F$2:$F$201, MATCH(Q43, '3_GrowthInputs'!$G$2:$G$201, 0)), NA())</f>
        <v>0.34780571533067073</v>
      </c>
      <c r="G43" s="2">
        <f t="shared" si="13"/>
        <v>1.7529408052665806E-2</v>
      </c>
      <c r="H43" s="2">
        <f t="shared" si="14"/>
        <v>0.45651410828667</v>
      </c>
      <c r="I43" s="2">
        <f t="shared" si="15"/>
        <v>8.0024220859559025E-3</v>
      </c>
      <c r="J43" s="2">
        <f t="shared" si="16"/>
        <v>2.553183013862171E-2</v>
      </c>
      <c r="K43" s="23">
        <f t="shared" si="17"/>
        <v>4.3999853938891408E-2</v>
      </c>
      <c r="Q43" t="str">
        <f t="shared" si="18"/>
        <v>Dawadawa|2</v>
      </c>
      <c r="Y43">
        <f>Y42*(1-AB2) + MAX(0,J42-J43)</f>
        <v>0</v>
      </c>
      <c r="Z43">
        <f t="shared" si="19"/>
        <v>2.553183013862171E-2</v>
      </c>
    </row>
    <row r="44" spans="1:26" ht="16" customHeight="1" x14ac:dyDescent="0.2">
      <c r="A44" s="15" t="s">
        <v>13</v>
      </c>
      <c r="B44" s="2">
        <v>3</v>
      </c>
      <c r="C44" s="2">
        <f t="shared" si="10"/>
        <v>70</v>
      </c>
      <c r="D44" s="2">
        <f t="shared" si="11"/>
        <v>0.69120000000000004</v>
      </c>
      <c r="E44" s="2">
        <f t="shared" si="12"/>
        <v>48.384</v>
      </c>
      <c r="F44" s="2">
        <f>IFERROR(INDEX('3_GrowthInputs'!$F$2:$F$201, MATCH(Q44, '3_GrowthInputs'!$G$2:$G$201, 0)), NA())</f>
        <v>1.1622199367668204</v>
      </c>
      <c r="G44" s="2">
        <f t="shared" si="13"/>
        <v>5.6232849420525838E-2</v>
      </c>
      <c r="H44" s="2">
        <f t="shared" si="14"/>
        <v>0.41859228955468381</v>
      </c>
      <c r="I44" s="2">
        <f t="shared" si="15"/>
        <v>2.3538637187121684E-2</v>
      </c>
      <c r="J44" s="2">
        <f t="shared" si="16"/>
        <v>7.9771486607647518E-2</v>
      </c>
      <c r="K44" s="23">
        <f t="shared" si="17"/>
        <v>0.13747286192051253</v>
      </c>
      <c r="Q44" t="str">
        <f t="shared" si="18"/>
        <v>Dawadawa|3</v>
      </c>
      <c r="Y44">
        <f>Y43*(1-AB2) + MAX(0,J43-J44)</f>
        <v>0</v>
      </c>
      <c r="Z44">
        <f t="shared" si="19"/>
        <v>7.9771486607647518E-2</v>
      </c>
    </row>
    <row r="45" spans="1:26" ht="16" customHeight="1" x14ac:dyDescent="0.2">
      <c r="A45" s="15" t="s">
        <v>13</v>
      </c>
      <c r="B45" s="2">
        <v>4</v>
      </c>
      <c r="C45" s="2">
        <f t="shared" si="10"/>
        <v>70</v>
      </c>
      <c r="D45" s="2">
        <f t="shared" si="11"/>
        <v>0.68774400000000002</v>
      </c>
      <c r="E45" s="2">
        <f t="shared" si="12"/>
        <v>48.14208</v>
      </c>
      <c r="F45" s="2">
        <f>IFERROR(INDEX('3_GrowthInputs'!$F$2:$F$201, MATCH(Q45, '3_GrowthInputs'!$G$2:$G$201, 0)), NA())</f>
        <v>3.0064749140005675</v>
      </c>
      <c r="G45" s="2">
        <f t="shared" si="13"/>
        <v>0.14473795582780843</v>
      </c>
      <c r="H45" s="2">
        <f t="shared" si="14"/>
        <v>0.39016036960255079</v>
      </c>
      <c r="I45" s="2">
        <f t="shared" si="15"/>
        <v>5.6471014341295409E-2</v>
      </c>
      <c r="J45" s="2">
        <f t="shared" si="16"/>
        <v>0.20120897016910383</v>
      </c>
      <c r="K45" s="23">
        <f t="shared" si="17"/>
        <v>0.3467501252580889</v>
      </c>
      <c r="Q45" t="str">
        <f t="shared" si="18"/>
        <v>Dawadawa|4</v>
      </c>
      <c r="Y45">
        <f>Y44*(1-AB2) + MAX(0,J44-J45)</f>
        <v>0</v>
      </c>
      <c r="Z45">
        <f t="shared" si="19"/>
        <v>0.20120897016910383</v>
      </c>
    </row>
    <row r="46" spans="1:26" ht="16" customHeight="1" x14ac:dyDescent="0.2">
      <c r="A46" s="15" t="s">
        <v>13</v>
      </c>
      <c r="B46" s="2">
        <v>5</v>
      </c>
      <c r="C46" s="2">
        <f t="shared" si="10"/>
        <v>70</v>
      </c>
      <c r="D46" s="2">
        <f t="shared" si="11"/>
        <v>0.68430528000000002</v>
      </c>
      <c r="E46" s="2">
        <f t="shared" si="12"/>
        <v>47.901369600000002</v>
      </c>
      <c r="F46" s="2">
        <f>IFERROR(INDEX('3_GrowthInputs'!$F$2:$F$201, MATCH(Q46, '3_GrowthInputs'!$G$2:$G$201, 0)), NA())</f>
        <v>6.62136146566134</v>
      </c>
      <c r="G46" s="2">
        <f t="shared" si="13"/>
        <v>0.31717228282184157</v>
      </c>
      <c r="H46" s="2">
        <f t="shared" si="14"/>
        <v>0.36803923742150674</v>
      </c>
      <c r="I46" s="2">
        <f t="shared" si="15"/>
        <v>0.11673184510098904</v>
      </c>
      <c r="J46" s="2">
        <f t="shared" si="16"/>
        <v>0.43390412792283062</v>
      </c>
      <c r="K46" s="23">
        <f t="shared" si="17"/>
        <v>0.74776144712034465</v>
      </c>
      <c r="Q46" t="str">
        <f t="shared" si="18"/>
        <v>Dawadawa|5</v>
      </c>
      <c r="Y46">
        <f>Y45*(1-AB2) + MAX(0,J45-J46)</f>
        <v>0</v>
      </c>
      <c r="Z46">
        <f t="shared" si="19"/>
        <v>0.43390412792283062</v>
      </c>
    </row>
    <row r="47" spans="1:26" ht="16" customHeight="1" x14ac:dyDescent="0.2">
      <c r="A47" s="15" t="s">
        <v>13</v>
      </c>
      <c r="B47" s="2">
        <v>6</v>
      </c>
      <c r="C47" s="2">
        <f t="shared" si="10"/>
        <v>70</v>
      </c>
      <c r="D47" s="2">
        <f t="shared" si="11"/>
        <v>0.68088375360000009</v>
      </c>
      <c r="E47" s="2">
        <f t="shared" si="12"/>
        <v>47.661862752000005</v>
      </c>
      <c r="F47" s="2">
        <f>IFERROR(INDEX('3_GrowthInputs'!$F$2:$F$201, MATCH(Q47, '3_GrowthInputs'!$G$2:$G$201, 0)), NA())</f>
        <v>12.877139624191003</v>
      </c>
      <c r="G47" s="2">
        <f t="shared" si="13"/>
        <v>0.6137484614065325</v>
      </c>
      <c r="H47" s="2">
        <f t="shared" si="14"/>
        <v>0.3503999214620841</v>
      </c>
      <c r="I47" s="2">
        <f t="shared" si="15"/>
        <v>0.21505741267432393</v>
      </c>
      <c r="J47" s="2">
        <f t="shared" si="16"/>
        <v>0.82880587408085638</v>
      </c>
      <c r="K47" s="23">
        <f t="shared" si="17"/>
        <v>1.4283087896660089</v>
      </c>
      <c r="Q47" t="str">
        <f t="shared" si="18"/>
        <v>Dawadawa|6</v>
      </c>
      <c r="Y47">
        <f>Y46*(1-AB2) + MAX(0,J46-J47)</f>
        <v>0</v>
      </c>
      <c r="Z47">
        <f t="shared" si="19"/>
        <v>0.82880587408085638</v>
      </c>
    </row>
    <row r="48" spans="1:26" ht="16" customHeight="1" x14ac:dyDescent="0.2">
      <c r="A48" s="15" t="s">
        <v>13</v>
      </c>
      <c r="B48" s="2">
        <v>7</v>
      </c>
      <c r="C48" s="2">
        <f t="shared" si="10"/>
        <v>70</v>
      </c>
      <c r="D48" s="2">
        <f t="shared" si="11"/>
        <v>0.67747933483200007</v>
      </c>
      <c r="E48" s="2">
        <f t="shared" si="12"/>
        <v>47.423553438240006</v>
      </c>
      <c r="F48" s="2">
        <f>IFERROR(INDEX('3_GrowthInputs'!$F$2:$F$201, MATCH(Q48, '3_GrowthInputs'!$G$2:$G$201, 0)), NA())</f>
        <v>22.497137164800716</v>
      </c>
      <c r="G48" s="2">
        <f t="shared" si="13"/>
        <v>1.0668941865423418</v>
      </c>
      <c r="H48" s="2">
        <f t="shared" si="14"/>
        <v>0.33627784745282313</v>
      </c>
      <c r="I48" s="2">
        <f t="shared" si="15"/>
        <v>0.35877288051038947</v>
      </c>
      <c r="J48" s="2">
        <f t="shared" si="16"/>
        <v>1.4256670670527312</v>
      </c>
      <c r="K48" s="23">
        <f t="shared" si="17"/>
        <v>2.4568995788875401</v>
      </c>
      <c r="Q48" t="str">
        <f t="shared" si="18"/>
        <v>Dawadawa|7</v>
      </c>
      <c r="Y48">
        <f>Y47*(1-AB2) + MAX(0,J47-J48)</f>
        <v>0</v>
      </c>
      <c r="Z48">
        <f t="shared" si="19"/>
        <v>1.4256670670527312</v>
      </c>
    </row>
    <row r="49" spans="1:26" ht="16" customHeight="1" x14ac:dyDescent="0.2">
      <c r="A49" s="15" t="s">
        <v>13</v>
      </c>
      <c r="B49" s="2">
        <v>8</v>
      </c>
      <c r="C49" s="2">
        <f t="shared" si="10"/>
        <v>70</v>
      </c>
      <c r="D49" s="2">
        <f t="shared" si="11"/>
        <v>0.67409193815784008</v>
      </c>
      <c r="E49" s="2">
        <f t="shared" si="12"/>
        <v>47.186435671048805</v>
      </c>
      <c r="F49" s="2">
        <f>IFERROR(INDEX('3_GrowthInputs'!$F$2:$F$201, MATCH(Q49, '3_GrowthInputs'!$G$2:$G$201, 0)), NA())</f>
        <v>35.739455759932554</v>
      </c>
      <c r="G49" s="2">
        <f t="shared" si="13"/>
        <v>1.686417530134352</v>
      </c>
      <c r="H49" s="2">
        <f t="shared" si="14"/>
        <v>0.32501565724024223</v>
      </c>
      <c r="I49" s="2">
        <f t="shared" si="15"/>
        <v>0.54811210193808246</v>
      </c>
      <c r="J49" s="2">
        <f t="shared" si="16"/>
        <v>2.2345296320724346</v>
      </c>
      <c r="K49" s="23">
        <f t="shared" si="17"/>
        <v>3.8508393992714951</v>
      </c>
      <c r="Q49" t="str">
        <f t="shared" si="18"/>
        <v>Dawadawa|8</v>
      </c>
      <c r="Y49">
        <f>Y48*(1-AB2) + MAX(0,J48-J49)</f>
        <v>0</v>
      </c>
      <c r="Z49">
        <f t="shared" si="19"/>
        <v>2.2345296320724346</v>
      </c>
    </row>
    <row r="50" spans="1:26" ht="16" customHeight="1" x14ac:dyDescent="0.2">
      <c r="A50" s="15" t="s">
        <v>13</v>
      </c>
      <c r="B50" s="2">
        <v>9</v>
      </c>
      <c r="C50" s="2">
        <f t="shared" si="10"/>
        <v>70</v>
      </c>
      <c r="D50" s="2">
        <f t="shared" si="11"/>
        <v>0.67072147846705088</v>
      </c>
      <c r="E50" s="2">
        <f t="shared" si="12"/>
        <v>46.950503492693564</v>
      </c>
      <c r="F50" s="2">
        <f>IFERROR(INDEX('3_GrowthInputs'!$F$2:$F$201, MATCH(Q50, '3_GrowthInputs'!$G$2:$G$201, 0)), NA())</f>
        <v>52.289365183606826</v>
      </c>
      <c r="G50" s="2">
        <f t="shared" si="13"/>
        <v>2.4550120226836616</v>
      </c>
      <c r="H50" s="2">
        <f t="shared" si="14"/>
        <v>0.31606069995101393</v>
      </c>
      <c r="I50" s="2">
        <f t="shared" si="15"/>
        <v>0.77593281827755256</v>
      </c>
      <c r="J50" s="2">
        <f t="shared" si="16"/>
        <v>3.230944840961214</v>
      </c>
      <c r="K50" s="23">
        <f t="shared" si="17"/>
        <v>5.5679949425898245</v>
      </c>
      <c r="Q50" t="str">
        <f t="shared" si="18"/>
        <v>Dawadawa|9</v>
      </c>
      <c r="Y50">
        <f>Y49*(1-AB2) + MAX(0,J49-J50)</f>
        <v>0</v>
      </c>
      <c r="Z50">
        <f t="shared" si="19"/>
        <v>3.230944840961214</v>
      </c>
    </row>
    <row r="51" spans="1:26" ht="16" customHeight="1" x14ac:dyDescent="0.2">
      <c r="A51" s="15" t="s">
        <v>13</v>
      </c>
      <c r="B51" s="2">
        <v>10</v>
      </c>
      <c r="C51" s="2">
        <f t="shared" si="10"/>
        <v>70</v>
      </c>
      <c r="D51" s="2">
        <f t="shared" si="11"/>
        <v>0.66736787107471562</v>
      </c>
      <c r="E51" s="2">
        <f t="shared" si="12"/>
        <v>46.715750975230094</v>
      </c>
      <c r="F51" s="2">
        <f>IFERROR(INDEX('3_GrowthInputs'!$F$2:$F$201, MATCH(Q51, '3_GrowthInputs'!$G$2:$G$201, 0)), NA())</f>
        <v>71.468115962921203</v>
      </c>
      <c r="G51" s="2">
        <f t="shared" si="13"/>
        <v>3.3386867079926938</v>
      </c>
      <c r="H51" s="2">
        <f t="shared" si="14"/>
        <v>0.30891319369106224</v>
      </c>
      <c r="I51" s="2">
        <f t="shared" si="15"/>
        <v>1.0313643736999221</v>
      </c>
      <c r="J51" s="2">
        <f t="shared" si="16"/>
        <v>4.3700510816926155</v>
      </c>
      <c r="K51" s="23">
        <f t="shared" si="17"/>
        <v>7.5310546974502728</v>
      </c>
      <c r="Q51" t="str">
        <f t="shared" si="18"/>
        <v>Dawadawa|10</v>
      </c>
      <c r="Y51">
        <f>Y50*(1-AB2) + MAX(0,J50-J51)</f>
        <v>0</v>
      </c>
      <c r="Z51">
        <f t="shared" si="19"/>
        <v>4.3700510816926155</v>
      </c>
    </row>
    <row r="52" spans="1:26" ht="16" customHeight="1" x14ac:dyDescent="0.2">
      <c r="A52" s="15" t="s">
        <v>13</v>
      </c>
      <c r="B52" s="2">
        <v>11</v>
      </c>
      <c r="C52" s="2">
        <f t="shared" si="10"/>
        <v>70</v>
      </c>
      <c r="D52" s="2">
        <f t="shared" si="11"/>
        <v>0.66403103171934208</v>
      </c>
      <c r="E52" s="2">
        <f t="shared" si="12"/>
        <v>46.482172220353945</v>
      </c>
      <c r="F52" s="2">
        <f>IFERROR(INDEX('3_GrowthInputs'!$F$2:$F$201, MATCH(Q52, '3_GrowthInputs'!$G$2:$G$201, 0)), NA())</f>
        <v>92.577996908016132</v>
      </c>
      <c r="G52" s="2">
        <f t="shared" si="13"/>
        <v>4.3032263960938009</v>
      </c>
      <c r="H52" s="2">
        <f t="shared" si="14"/>
        <v>0.30313508100736886</v>
      </c>
      <c r="I52" s="2">
        <f t="shared" si="15"/>
        <v>1.3044588821729424</v>
      </c>
      <c r="J52" s="2">
        <f t="shared" si="16"/>
        <v>5.607685278266743</v>
      </c>
      <c r="K52" s="23">
        <f t="shared" si="17"/>
        <v>9.6639109628796867</v>
      </c>
      <c r="Q52" t="str">
        <f t="shared" si="18"/>
        <v>Dawadawa|11</v>
      </c>
      <c r="Y52">
        <f>Y51*(1-AB2) + MAX(0,J51-J52)</f>
        <v>0</v>
      </c>
      <c r="Z52">
        <f t="shared" si="19"/>
        <v>5.607685278266743</v>
      </c>
    </row>
    <row r="53" spans="1:26" ht="16" customHeight="1" x14ac:dyDescent="0.2">
      <c r="A53" s="15" t="s">
        <v>13</v>
      </c>
      <c r="B53" s="2">
        <v>12</v>
      </c>
      <c r="C53" s="2">
        <f t="shared" si="10"/>
        <v>70</v>
      </c>
      <c r="D53" s="2">
        <f t="shared" si="11"/>
        <v>0.66071087656074534</v>
      </c>
      <c r="E53" s="2">
        <f t="shared" si="12"/>
        <v>46.249761359252176</v>
      </c>
      <c r="F53" s="2">
        <f>IFERROR(INDEX('3_GrowthInputs'!$F$2:$F$201, MATCH(Q53, '3_GrowthInputs'!$G$2:$G$201, 0)), NA())</f>
        <v>115.11592635326991</v>
      </c>
      <c r="G53" s="2">
        <f t="shared" si="13"/>
        <v>5.3240841224879825</v>
      </c>
      <c r="H53" s="2">
        <f t="shared" si="14"/>
        <v>0.29837186295152129</v>
      </c>
      <c r="I53" s="2">
        <f t="shared" si="15"/>
        <v>1.5885568981373548</v>
      </c>
      <c r="J53" s="2">
        <f t="shared" si="16"/>
        <v>6.9126410206253368</v>
      </c>
      <c r="K53" s="23">
        <f t="shared" si="17"/>
        <v>11.912784692210996</v>
      </c>
      <c r="Q53" t="str">
        <f t="shared" si="18"/>
        <v>Dawadawa|12</v>
      </c>
      <c r="Y53">
        <f>Y52*(1-AB2) + MAX(0,J52-J53)</f>
        <v>0</v>
      </c>
      <c r="Z53">
        <f t="shared" si="19"/>
        <v>6.9126410206253368</v>
      </c>
    </row>
    <row r="54" spans="1:26" ht="16" customHeight="1" x14ac:dyDescent="0.2">
      <c r="A54" s="15" t="s">
        <v>13</v>
      </c>
      <c r="B54" s="2">
        <v>13</v>
      </c>
      <c r="C54" s="2">
        <f t="shared" si="10"/>
        <v>70</v>
      </c>
      <c r="D54" s="2">
        <f t="shared" si="11"/>
        <v>0.65740732217794162</v>
      </c>
      <c r="E54" s="2">
        <f t="shared" si="12"/>
        <v>46.018512552455917</v>
      </c>
      <c r="F54" s="2">
        <f>IFERROR(INDEX('3_GrowthInputs'!$F$2:$F$201, MATCH(Q54, '3_GrowthInputs'!$G$2:$G$201, 0)), NA())</f>
        <v>138.83807324207916</v>
      </c>
      <c r="G54" s="2">
        <f t="shared" si="13"/>
        <v>6.3891216162494135</v>
      </c>
      <c r="H54" s="2">
        <f t="shared" si="14"/>
        <v>0.29435110141083071</v>
      </c>
      <c r="I54" s="2">
        <f t="shared" si="15"/>
        <v>1.8806449847907618</v>
      </c>
      <c r="J54" s="2">
        <f t="shared" si="16"/>
        <v>8.2697666010401747</v>
      </c>
      <c r="K54" s="23">
        <f t="shared" si="17"/>
        <v>14.251564442459234</v>
      </c>
      <c r="Q54" t="str">
        <f t="shared" si="18"/>
        <v>Dawadawa|13</v>
      </c>
      <c r="Y54">
        <f>Y53*(1-AB2) + MAX(0,J53-J54)</f>
        <v>0</v>
      </c>
      <c r="Z54">
        <f t="shared" si="19"/>
        <v>8.2697666010401747</v>
      </c>
    </row>
    <row r="55" spans="1:26" ht="16" customHeight="1" x14ac:dyDescent="0.2">
      <c r="A55" s="15" t="s">
        <v>13</v>
      </c>
      <c r="B55" s="2">
        <v>14</v>
      </c>
      <c r="C55" s="2">
        <f t="shared" si="10"/>
        <v>70</v>
      </c>
      <c r="D55" s="2">
        <f t="shared" si="11"/>
        <v>0.65412028556705193</v>
      </c>
      <c r="E55" s="2">
        <f t="shared" si="12"/>
        <v>45.788419989693637</v>
      </c>
      <c r="F55" s="2">
        <f>IFERROR(INDEX('3_GrowthInputs'!$F$2:$F$201, MATCH(Q55, '3_GrowthInputs'!$G$2:$G$201, 0)), NA())</f>
        <v>163.66229964240543</v>
      </c>
      <c r="G55" s="2">
        <f t="shared" si="13"/>
        <v>7.4938381125055464</v>
      </c>
      <c r="H55" s="2">
        <f t="shared" si="14"/>
        <v>0.29087907916626488</v>
      </c>
      <c r="I55" s="2">
        <f t="shared" si="15"/>
        <v>2.1798007295866739</v>
      </c>
      <c r="J55" s="2">
        <f t="shared" si="16"/>
        <v>9.6736388420922204</v>
      </c>
      <c r="K55" s="23">
        <f t="shared" si="17"/>
        <v>16.67090427120559</v>
      </c>
      <c r="Q55" t="str">
        <f t="shared" si="18"/>
        <v>Dawadawa|14</v>
      </c>
      <c r="Y55">
        <f>Y54*(1-AB2) + MAX(0,J54-J55)</f>
        <v>0</v>
      </c>
      <c r="Z55">
        <f t="shared" si="19"/>
        <v>9.6736388420922204</v>
      </c>
    </row>
    <row r="56" spans="1:26" ht="16" customHeight="1" x14ac:dyDescent="0.2">
      <c r="A56" s="15" t="s">
        <v>13</v>
      </c>
      <c r="B56" s="2">
        <v>15</v>
      </c>
      <c r="C56" s="2">
        <f t="shared" si="10"/>
        <v>70</v>
      </c>
      <c r="D56" s="2">
        <f t="shared" si="11"/>
        <v>0.65084968413921673</v>
      </c>
      <c r="E56" s="2">
        <f t="shared" si="12"/>
        <v>45.559477889745175</v>
      </c>
      <c r="F56" s="2">
        <f>IFERROR(INDEX('3_GrowthInputs'!$F$2:$F$201, MATCH(Q56, '3_GrowthInputs'!$G$2:$G$201, 0)), NA())</f>
        <v>189.60959910489643</v>
      </c>
      <c r="G56" s="2">
        <f t="shared" si="13"/>
        <v>8.6385143381029756</v>
      </c>
      <c r="H56" s="2">
        <f t="shared" si="14"/>
        <v>0.28781897432023051</v>
      </c>
      <c r="I56" s="2">
        <f t="shared" si="15"/>
        <v>2.4863283364434032</v>
      </c>
      <c r="J56" s="2">
        <f t="shared" si="16"/>
        <v>11.124842674546379</v>
      </c>
      <c r="K56" s="23">
        <f t="shared" si="17"/>
        <v>19.171812209134924</v>
      </c>
      <c r="Q56" t="str">
        <f t="shared" si="18"/>
        <v>Dawadawa|15</v>
      </c>
      <c r="Y56">
        <f>Y55*(1-AB2) + MAX(0,J55-J56)</f>
        <v>0</v>
      </c>
      <c r="Z56">
        <f t="shared" si="19"/>
        <v>11.124842674546379</v>
      </c>
    </row>
    <row r="57" spans="1:26" ht="16" customHeight="1" x14ac:dyDescent="0.2">
      <c r="A57" s="15" t="s">
        <v>13</v>
      </c>
      <c r="B57" s="2">
        <v>16</v>
      </c>
      <c r="C57" s="2">
        <f t="shared" si="10"/>
        <v>70</v>
      </c>
      <c r="D57" s="2">
        <f t="shared" si="11"/>
        <v>0.64759543571852063</v>
      </c>
      <c r="E57" s="2">
        <f t="shared" si="12"/>
        <v>45.331680500296443</v>
      </c>
      <c r="F57" s="2">
        <f>IFERROR(INDEX('3_GrowthInputs'!$F$2:$F$201, MATCH(Q57, '3_GrowthInputs'!$G$2:$G$201, 0)), NA())</f>
        <v>216.76978356050884</v>
      </c>
      <c r="G57" s="2">
        <f t="shared" si="13"/>
        <v>9.8265385704833985</v>
      </c>
      <c r="H57" s="2">
        <f t="shared" si="14"/>
        <v>0.28507286814856736</v>
      </c>
      <c r="I57" s="2">
        <f t="shared" si="15"/>
        <v>2.8012795342602255</v>
      </c>
      <c r="J57" s="2">
        <f t="shared" si="16"/>
        <v>12.627818104743625</v>
      </c>
      <c r="K57" s="23">
        <f t="shared" si="17"/>
        <v>21.761939867174846</v>
      </c>
      <c r="Q57" t="str">
        <f t="shared" si="18"/>
        <v>Dawadawa|16</v>
      </c>
      <c r="Y57">
        <f>Y56*(1-AB2) + MAX(0,J56-J57)</f>
        <v>0</v>
      </c>
      <c r="Z57">
        <f t="shared" si="19"/>
        <v>12.627818104743625</v>
      </c>
    </row>
    <row r="58" spans="1:26" ht="16" customHeight="1" x14ac:dyDescent="0.2">
      <c r="A58" s="15" t="s">
        <v>13</v>
      </c>
      <c r="B58" s="2">
        <v>17</v>
      </c>
      <c r="C58" s="2">
        <f t="shared" si="10"/>
        <v>70</v>
      </c>
      <c r="D58" s="2">
        <f t="shared" si="11"/>
        <v>0.6443574585399281</v>
      </c>
      <c r="E58" s="2">
        <f t="shared" si="12"/>
        <v>45.105022097794965</v>
      </c>
      <c r="F58" s="2">
        <f>IFERROR(INDEX('3_GrowthInputs'!$F$2:$F$201, MATCH(Q58, '3_GrowthInputs'!$G$2:$G$201, 0)), NA())</f>
        <v>245.19489293888716</v>
      </c>
      <c r="G58" s="2">
        <f t="shared" si="13"/>
        <v>11.059521064274975</v>
      </c>
      <c r="H58" s="2">
        <f t="shared" si="14"/>
        <v>0.28257680143251962</v>
      </c>
      <c r="I58" s="2">
        <f t="shared" si="15"/>
        <v>3.1251640877183977</v>
      </c>
      <c r="J58" s="2">
        <f t="shared" si="16"/>
        <v>14.184685151993373</v>
      </c>
      <c r="K58" s="23">
        <f t="shared" si="17"/>
        <v>24.444940745268578</v>
      </c>
      <c r="Q58" t="str">
        <f t="shared" si="18"/>
        <v>Dawadawa|17</v>
      </c>
      <c r="Y58">
        <f>Y57*(1-AB2) + MAX(0,J57-J58)</f>
        <v>0</v>
      </c>
      <c r="Z58">
        <f t="shared" si="19"/>
        <v>14.184685151993373</v>
      </c>
    </row>
    <row r="59" spans="1:26" ht="16" customHeight="1" x14ac:dyDescent="0.2">
      <c r="A59" s="15" t="s">
        <v>13</v>
      </c>
      <c r="B59" s="2">
        <v>18</v>
      </c>
      <c r="C59" s="2">
        <f t="shared" si="10"/>
        <v>70</v>
      </c>
      <c r="D59" s="2">
        <f t="shared" si="11"/>
        <v>0.64113567124722837</v>
      </c>
      <c r="E59" s="2">
        <f t="shared" si="12"/>
        <v>44.879496987305984</v>
      </c>
      <c r="F59" s="2">
        <f>IFERROR(INDEX('3_GrowthInputs'!$F$2:$F$201, MATCH(Q59, '3_GrowthInputs'!$G$2:$G$201, 0)), NA())</f>
        <v>274.97593816432521</v>
      </c>
      <c r="G59" s="2">
        <f t="shared" si="13"/>
        <v>12.340781788427471</v>
      </c>
      <c r="H59" s="2">
        <f t="shared" si="14"/>
        <v>0.28028160273430153</v>
      </c>
      <c r="I59" s="2">
        <f t="shared" si="15"/>
        <v>3.4588940986547314</v>
      </c>
      <c r="J59" s="2">
        <f t="shared" si="16"/>
        <v>15.799675887082202</v>
      </c>
      <c r="K59" s="23">
        <f t="shared" si="17"/>
        <v>27.228108112071659</v>
      </c>
      <c r="Q59" t="str">
        <f t="shared" si="18"/>
        <v>Dawadawa|18</v>
      </c>
      <c r="Y59">
        <f>Y58*(1-AB2) + MAX(0,J58-J59)</f>
        <v>0</v>
      </c>
      <c r="Z59">
        <f t="shared" si="19"/>
        <v>15.799675887082202</v>
      </c>
    </row>
    <row r="60" spans="1:26" ht="16" customHeight="1" x14ac:dyDescent="0.2">
      <c r="A60" s="15" t="s">
        <v>13</v>
      </c>
      <c r="B60" s="2">
        <v>19</v>
      </c>
      <c r="C60" s="2">
        <f t="shared" si="10"/>
        <v>70</v>
      </c>
      <c r="D60" s="2">
        <f t="shared" si="11"/>
        <v>0.63792999289099217</v>
      </c>
      <c r="E60" s="2">
        <f t="shared" si="12"/>
        <v>44.655099502369453</v>
      </c>
      <c r="F60" s="2">
        <f>IFERROR(INDEX('3_GrowthInputs'!$F$2:$F$201, MATCH(Q60, '3_GrowthInputs'!$G$2:$G$201, 0)), NA())</f>
        <v>306.16635077090905</v>
      </c>
      <c r="G60" s="2">
        <f t="shared" si="13"/>
        <v>13.671888857952291</v>
      </c>
      <c r="H60" s="2">
        <f t="shared" si="14"/>
        <v>0.27815370256419136</v>
      </c>
      <c r="I60" s="2">
        <f t="shared" si="15"/>
        <v>3.8028865068855437</v>
      </c>
      <c r="J60" s="2">
        <f t="shared" si="16"/>
        <v>17.474775364837836</v>
      </c>
      <c r="K60" s="23">
        <f t="shared" si="17"/>
        <v>30.114862878737199</v>
      </c>
      <c r="Q60" t="str">
        <f t="shared" si="18"/>
        <v>Dawadawa|19</v>
      </c>
      <c r="Y60">
        <f>Y59*(1-AB2) + MAX(0,J59-J60)</f>
        <v>0</v>
      </c>
      <c r="Z60">
        <f t="shared" si="19"/>
        <v>17.474775364837836</v>
      </c>
    </row>
    <row r="61" spans="1:26" ht="16" customHeight="1" x14ac:dyDescent="0.2">
      <c r="A61" s="15" t="s">
        <v>13</v>
      </c>
      <c r="B61" s="2">
        <v>20</v>
      </c>
      <c r="C61" s="2">
        <f t="shared" si="10"/>
        <v>70</v>
      </c>
      <c r="D61" s="2">
        <f t="shared" si="11"/>
        <v>0.63474034292653725</v>
      </c>
      <c r="E61" s="2">
        <f t="shared" si="12"/>
        <v>44.43182400485761</v>
      </c>
      <c r="F61" s="2">
        <f>IFERROR(INDEX('3_GrowthInputs'!$F$2:$F$201, MATCH(Q61, '3_GrowthInputs'!$G$2:$G$201, 0)), NA())</f>
        <v>338.81326225839121</v>
      </c>
      <c r="G61" s="2">
        <f t="shared" si="13"/>
        <v>15.054091239176504</v>
      </c>
      <c r="H61" s="2">
        <f t="shared" si="14"/>
        <v>0.2761677674299905</v>
      </c>
      <c r="I61" s="2">
        <f t="shared" si="15"/>
        <v>4.1574547682107541</v>
      </c>
      <c r="J61" s="2">
        <f t="shared" si="16"/>
        <v>19.211546007387259</v>
      </c>
      <c r="K61" s="23">
        <f t="shared" si="17"/>
        <v>33.10789761939737</v>
      </c>
      <c r="Q61" t="str">
        <f t="shared" si="18"/>
        <v>Dawadawa|20</v>
      </c>
      <c r="Y61">
        <f>Y60*(1-AB2) + MAX(0,J60-J61)</f>
        <v>0</v>
      </c>
      <c r="Z61">
        <f t="shared" si="19"/>
        <v>19.211546007387259</v>
      </c>
    </row>
    <row r="62" spans="1:26" ht="16" customHeight="1" x14ac:dyDescent="0.2">
      <c r="A62" s="15" t="s">
        <v>13</v>
      </c>
      <c r="B62" s="2">
        <v>21</v>
      </c>
      <c r="C62" s="2">
        <f t="shared" si="10"/>
        <v>70</v>
      </c>
      <c r="D62" s="2">
        <f t="shared" si="11"/>
        <v>0.62839293949727182</v>
      </c>
      <c r="E62" s="2">
        <f t="shared" si="12"/>
        <v>43.987505764809029</v>
      </c>
      <c r="F62" s="2">
        <f>IFERROR(INDEX('3_GrowthInputs'!$F$2:$F$201, MATCH(Q62, '3_GrowthInputs'!$G$2:$G$201, 0)), NA())</f>
        <v>372.95129824317297</v>
      </c>
      <c r="G62" s="2">
        <f t="shared" si="13"/>
        <v>16.405197381464582</v>
      </c>
      <c r="H62" s="2">
        <f t="shared" si="14"/>
        <v>0.27440743008144947</v>
      </c>
      <c r="I62" s="2">
        <f t="shared" si="15"/>
        <v>4.5017080534266203</v>
      </c>
      <c r="J62" s="2">
        <f t="shared" si="16"/>
        <v>20.9069054348912</v>
      </c>
      <c r="K62" s="23">
        <f t="shared" si="17"/>
        <v>36.029567032795832</v>
      </c>
      <c r="Q62" t="str">
        <f t="shared" si="18"/>
        <v>Dawadawa|21</v>
      </c>
      <c r="Y62">
        <f>Y61*(1-AB2) + MAX(0,J61-J62)</f>
        <v>0</v>
      </c>
      <c r="Z62">
        <f t="shared" si="19"/>
        <v>20.9069054348912</v>
      </c>
    </row>
    <row r="63" spans="1:26" ht="16" customHeight="1" x14ac:dyDescent="0.2">
      <c r="A63" s="15" t="s">
        <v>13</v>
      </c>
      <c r="B63" s="2">
        <v>22</v>
      </c>
      <c r="C63" s="2">
        <f t="shared" si="10"/>
        <v>70</v>
      </c>
      <c r="D63" s="2">
        <f t="shared" si="11"/>
        <v>0.62210901010229913</v>
      </c>
      <c r="E63" s="2">
        <f t="shared" si="12"/>
        <v>43.547630707160941</v>
      </c>
      <c r="F63" s="2">
        <f>IFERROR(INDEX('3_GrowthInputs'!$F$2:$F$201, MATCH(Q63, '3_GrowthInputs'!$G$2:$G$201, 0)), NA())</f>
        <v>408.58056889214043</v>
      </c>
      <c r="G63" s="2">
        <f t="shared" si="13"/>
        <v>17.792715728236661</v>
      </c>
      <c r="H63" s="2">
        <f t="shared" si="14"/>
        <v>0.27275483914521292</v>
      </c>
      <c r="I63" s="2">
        <f t="shared" si="15"/>
        <v>4.853049316411691</v>
      </c>
      <c r="J63" s="2">
        <f t="shared" si="16"/>
        <v>22.645765044648353</v>
      </c>
      <c r="K63" s="23">
        <f t="shared" si="17"/>
        <v>39.026201760277324</v>
      </c>
      <c r="Q63" t="str">
        <f t="shared" si="18"/>
        <v>Dawadawa|22</v>
      </c>
      <c r="Y63">
        <f>Y62*(1-AB2) + MAX(0,J62-J63)</f>
        <v>0</v>
      </c>
      <c r="Z63">
        <f t="shared" si="19"/>
        <v>22.645765044648353</v>
      </c>
    </row>
    <row r="64" spans="1:26" ht="16" customHeight="1" x14ac:dyDescent="0.2">
      <c r="A64" s="15" t="s">
        <v>13</v>
      </c>
      <c r="B64" s="2">
        <v>23</v>
      </c>
      <c r="C64" s="2">
        <f t="shared" si="10"/>
        <v>70</v>
      </c>
      <c r="D64" s="2">
        <f t="shared" si="11"/>
        <v>0.61588792000127612</v>
      </c>
      <c r="E64" s="2">
        <f t="shared" si="12"/>
        <v>43.112154400089331</v>
      </c>
      <c r="F64" s="2">
        <f>IFERROR(INDEX('3_GrowthInputs'!$F$2:$F$201, MATCH(Q64, '3_GrowthInputs'!$G$2:$G$201, 0)), NA())</f>
        <v>445.73751656768593</v>
      </c>
      <c r="G64" s="2">
        <f t="shared" si="13"/>
        <v>19.216704636178452</v>
      </c>
      <c r="H64" s="2">
        <f t="shared" si="14"/>
        <v>0.27119693432726361</v>
      </c>
      <c r="I64" s="2">
        <f t="shared" si="15"/>
        <v>5.2115113852041102</v>
      </c>
      <c r="J64" s="2">
        <f t="shared" si="16"/>
        <v>24.428216021382561</v>
      </c>
      <c r="K64" s="23">
        <f t="shared" si="17"/>
        <v>42.097958943515941</v>
      </c>
      <c r="Q64" t="str">
        <f t="shared" si="18"/>
        <v>Dawadawa|23</v>
      </c>
      <c r="Y64">
        <f>Y63*(1-AB2) + MAX(0,J63-J64)</f>
        <v>0</v>
      </c>
      <c r="Z64">
        <f t="shared" si="19"/>
        <v>24.428216021382561</v>
      </c>
    </row>
    <row r="65" spans="1:26" ht="16" customHeight="1" x14ac:dyDescent="0.2">
      <c r="A65" s="15" t="s">
        <v>13</v>
      </c>
      <c r="B65" s="2">
        <v>24</v>
      </c>
      <c r="C65" s="2">
        <f t="shared" si="10"/>
        <v>70</v>
      </c>
      <c r="D65" s="2">
        <f t="shared" si="11"/>
        <v>0.60972904080126333</v>
      </c>
      <c r="E65" s="2">
        <f t="shared" si="12"/>
        <v>42.681032856088436</v>
      </c>
      <c r="F65" s="2">
        <f>IFERROR(INDEX('3_GrowthInputs'!$F$2:$F$201, MATCH(Q65, '3_GrowthInputs'!$G$2:$G$201, 0)), NA())</f>
        <v>484.45453673909492</v>
      </c>
      <c r="G65" s="2">
        <f t="shared" si="13"/>
        <v>20.677019999842415</v>
      </c>
      <c r="H65" s="2">
        <f t="shared" si="14"/>
        <v>0.26972312566261092</v>
      </c>
      <c r="I65" s="2">
        <f t="shared" si="15"/>
        <v>5.5770704637458151</v>
      </c>
      <c r="J65" s="2">
        <f t="shared" si="16"/>
        <v>26.254090463588231</v>
      </c>
      <c r="K65" s="23">
        <f t="shared" si="17"/>
        <v>45.244549232250378</v>
      </c>
      <c r="Q65" t="str">
        <f t="shared" si="18"/>
        <v>Dawadawa|24</v>
      </c>
      <c r="Y65">
        <f>Y64*(1-AB2) + MAX(0,J64-J65)</f>
        <v>0</v>
      </c>
      <c r="Z65">
        <f t="shared" si="19"/>
        <v>26.254090463588231</v>
      </c>
    </row>
    <row r="66" spans="1:26" ht="16" customHeight="1" x14ac:dyDescent="0.2">
      <c r="A66" s="15" t="s">
        <v>13</v>
      </c>
      <c r="B66" s="2">
        <v>25</v>
      </c>
      <c r="C66" s="2">
        <f t="shared" ref="C66:C97" si="20">INDEX($N$2:$N$6, MATCH(A66, $M$2:$M$6, 0))</f>
        <v>70</v>
      </c>
      <c r="D66" s="2">
        <f t="shared" ref="D66:D97" si="21">IF(B66=1,INDEX($T$2:$T$6, MATCH(A66, $S$2:$S$6, 0)),INDEX($T$2:$T$6, MATCH(A66, $S$2:$S$6, 0))*POWER(INDEX($U$2:$U$6, MATCH(A66, $S$2:$S$6, 0)),MIN(B66-1,2))*POWER(INDEX($V$2:$V$6, MATCH(A66, $S$2:$S$6, 0)),MAX(MIN(B66-3,17),0))*POWER(INDEX($W$2:$W$6, MATCH(A66, $S$2:$S$6, 0)),MAX(B66-20,0)))</f>
        <v>0.60363175039325068</v>
      </c>
      <c r="E66" s="2">
        <f t="shared" ref="E66:E97" si="22">C66*D66</f>
        <v>42.254222527527546</v>
      </c>
      <c r="F66" s="2">
        <f>IFERROR(INDEX('3_GrowthInputs'!$F$2:$F$201, MATCH(Q66, '3_GrowthInputs'!$G$2:$G$201, 0)), NA())</f>
        <v>524.69471245039938</v>
      </c>
      <c r="G66" s="2">
        <f t="shared" ref="G66:G97" si="23">IF(OR(ISNA(E66),ISNA(F66)),NA(),E66*F66/1000)</f>
        <v>22.170567138896253</v>
      </c>
      <c r="H66" s="2">
        <f t="shared" ref="H66:H97" si="24">IF(ISNA(G66),NA(),IF(G66&gt;0,EXP(-1.085+0.9256*LN(G66))/G66,0))</f>
        <v>0.26832719641742997</v>
      </c>
      <c r="I66" s="2">
        <f t="shared" ref="I66:I97" si="25">IF(OR(ISNA(G66),ISNA(H66)),NA(),G66*H66)</f>
        <v>5.9489661233644329</v>
      </c>
      <c r="J66" s="2">
        <f t="shared" ref="J66:J97" si="26">IF(OR(ISNA(G66),ISNA(I66)),NA(),G66+I66)</f>
        <v>28.119533262260685</v>
      </c>
      <c r="K66" s="23">
        <f t="shared" ref="K66:K97" si="27">Z66*0.47*(44/12)</f>
        <v>48.459328988629245</v>
      </c>
      <c r="Q66" t="str">
        <f t="shared" ref="Q66:Q97" si="28">A66&amp;"|"&amp;B66</f>
        <v>Dawadawa|25</v>
      </c>
      <c r="Y66">
        <f>Y65*(1-AB2) + MAX(0,J65-J66)</f>
        <v>0</v>
      </c>
      <c r="Z66">
        <f t="shared" ref="Z66:Z97" si="29">J66+Y66</f>
        <v>28.119533262260685</v>
      </c>
    </row>
    <row r="67" spans="1:26" ht="16" customHeight="1" x14ac:dyDescent="0.2">
      <c r="A67" s="15" t="s">
        <v>13</v>
      </c>
      <c r="B67" s="2">
        <v>26</v>
      </c>
      <c r="C67" s="2">
        <f t="shared" si="20"/>
        <v>70</v>
      </c>
      <c r="D67" s="2">
        <f t="shared" si="21"/>
        <v>0.59759543288931816</v>
      </c>
      <c r="E67" s="2">
        <f t="shared" si="22"/>
        <v>41.831680302252273</v>
      </c>
      <c r="F67" s="2">
        <f>IFERROR(INDEX('3_GrowthInputs'!$F$2:$F$201, MATCH(Q67, '3_GrowthInputs'!$G$2:$G$201, 0)), NA())</f>
        <v>566.47313421689762</v>
      </c>
      <c r="G67" s="2">
        <f t="shared" si="23"/>
        <v>23.696523050376104</v>
      </c>
      <c r="H67" s="2">
        <f t="shared" si="24"/>
        <v>0.26700165347791838</v>
      </c>
      <c r="I67" s="2">
        <f t="shared" si="25"/>
        <v>6.327010836128026</v>
      </c>
      <c r="J67" s="2">
        <f t="shared" si="26"/>
        <v>30.023533886504129</v>
      </c>
      <c r="K67" s="23">
        <f t="shared" si="27"/>
        <v>51.740556731075444</v>
      </c>
      <c r="Q67" t="str">
        <f t="shared" si="28"/>
        <v>Dawadawa|26</v>
      </c>
      <c r="Y67">
        <f>Y66*(1-AB2) + MAX(0,J66-J67)</f>
        <v>0</v>
      </c>
      <c r="Z67">
        <f t="shared" si="29"/>
        <v>30.023533886504129</v>
      </c>
    </row>
    <row r="68" spans="1:26" ht="16" customHeight="1" x14ac:dyDescent="0.2">
      <c r="A68" s="15" t="s">
        <v>13</v>
      </c>
      <c r="B68" s="2">
        <v>27</v>
      </c>
      <c r="C68" s="2">
        <f t="shared" si="20"/>
        <v>70</v>
      </c>
      <c r="D68" s="2">
        <f t="shared" si="21"/>
        <v>0.59161947856042507</v>
      </c>
      <c r="E68" s="2">
        <f t="shared" si="22"/>
        <v>41.413363499229753</v>
      </c>
      <c r="F68" s="2">
        <f>IFERROR(INDEX('3_GrowthInputs'!$F$2:$F$201, MATCH(Q68, '3_GrowthInputs'!$G$2:$G$201, 0)), NA())</f>
        <v>609.81339598915417</v>
      </c>
      <c r="G68" s="2">
        <f t="shared" si="23"/>
        <v>25.254423834798576</v>
      </c>
      <c r="H68" s="2">
        <f t="shared" si="24"/>
        <v>0.2657397852801765</v>
      </c>
      <c r="I68" s="2">
        <f t="shared" si="25"/>
        <v>6.7111051672339448</v>
      </c>
      <c r="J68" s="2">
        <f t="shared" si="26"/>
        <v>31.965529002032522</v>
      </c>
      <c r="K68" s="23">
        <f t="shared" si="27"/>
        <v>55.087261646836041</v>
      </c>
      <c r="Q68" t="str">
        <f t="shared" si="28"/>
        <v>Dawadawa|27</v>
      </c>
      <c r="Y68">
        <f>Y67*(1-AB2) + MAX(0,J67-J68)</f>
        <v>0</v>
      </c>
      <c r="Z68">
        <f t="shared" si="29"/>
        <v>31.965529002032522</v>
      </c>
    </row>
    <row r="69" spans="1:26" ht="16" customHeight="1" x14ac:dyDescent="0.2">
      <c r="A69" s="15" t="s">
        <v>13</v>
      </c>
      <c r="B69" s="2">
        <v>28</v>
      </c>
      <c r="C69" s="2">
        <f t="shared" si="20"/>
        <v>70</v>
      </c>
      <c r="D69" s="2">
        <f t="shared" si="21"/>
        <v>0.58570328377482073</v>
      </c>
      <c r="E69" s="2">
        <f t="shared" si="22"/>
        <v>40.999229864237449</v>
      </c>
      <c r="F69" s="2">
        <f>IFERROR(INDEX('3_GrowthInputs'!$F$2:$F$201, MATCH(Q69, '3_GrowthInputs'!$G$2:$G$201, 0)), NA())</f>
        <v>654.67743165432182</v>
      </c>
      <c r="G69" s="2">
        <f t="shared" si="23"/>
        <v>26.84127050732414</v>
      </c>
      <c r="H69" s="2">
        <f t="shared" si="24"/>
        <v>0.26453767899534891</v>
      </c>
      <c r="I69" s="2">
        <f t="shared" si="25"/>
        <v>7.1005274012938395</v>
      </c>
      <c r="J69" s="2">
        <f t="shared" si="26"/>
        <v>33.941797908617978</v>
      </c>
      <c r="K69" s="23">
        <f t="shared" si="27"/>
        <v>58.493031729184978</v>
      </c>
      <c r="Q69" t="str">
        <f t="shared" si="28"/>
        <v>Dawadawa|28</v>
      </c>
      <c r="Y69">
        <f>Y68*(1-AB2) + MAX(0,J68-J69)</f>
        <v>0</v>
      </c>
      <c r="Z69">
        <f t="shared" si="29"/>
        <v>33.941797908617978</v>
      </c>
    </row>
    <row r="70" spans="1:26" ht="16" customHeight="1" x14ac:dyDescent="0.2">
      <c r="A70" s="15" t="s">
        <v>13</v>
      </c>
      <c r="B70" s="2">
        <v>29</v>
      </c>
      <c r="C70" s="2">
        <f t="shared" si="20"/>
        <v>70</v>
      </c>
      <c r="D70" s="2">
        <f t="shared" si="21"/>
        <v>0.57984625093707254</v>
      </c>
      <c r="E70" s="2">
        <f t="shared" si="22"/>
        <v>40.589237565595077</v>
      </c>
      <c r="F70" s="2">
        <f>IFERROR(INDEX('3_GrowthInputs'!$F$2:$F$201, MATCH(Q70, '3_GrowthInputs'!$G$2:$G$201, 0)), NA())</f>
        <v>701.13126510324889</v>
      </c>
      <c r="G70" s="2">
        <f t="shared" si="23"/>
        <v>28.45838348394199</v>
      </c>
      <c r="H70" s="2">
        <f t="shared" si="24"/>
        <v>0.26338876517277388</v>
      </c>
      <c r="I70" s="2">
        <f t="shared" si="25"/>
        <v>7.4956184846487437</v>
      </c>
      <c r="J70" s="2">
        <f t="shared" si="26"/>
        <v>35.954001968590731</v>
      </c>
      <c r="K70" s="23">
        <f t="shared" si="27"/>
        <v>61.960730059204685</v>
      </c>
      <c r="Q70" t="str">
        <f t="shared" si="28"/>
        <v>Dawadawa|29</v>
      </c>
      <c r="Y70">
        <f>Y69*(1-AB2) + MAX(0,J69-J70)</f>
        <v>0</v>
      </c>
      <c r="Z70">
        <f t="shared" si="29"/>
        <v>35.954001968590731</v>
      </c>
    </row>
    <row r="71" spans="1:26" ht="16" customHeight="1" x14ac:dyDescent="0.2">
      <c r="A71" s="15" t="s">
        <v>13</v>
      </c>
      <c r="B71" s="2">
        <v>30</v>
      </c>
      <c r="C71" s="2">
        <f t="shared" si="20"/>
        <v>70</v>
      </c>
      <c r="D71" s="2">
        <f t="shared" si="21"/>
        <v>0.57404778842770177</v>
      </c>
      <c r="E71" s="2">
        <f t="shared" si="22"/>
        <v>40.183345189939125</v>
      </c>
      <c r="F71" s="2">
        <f>IFERROR(INDEX('3_GrowthInputs'!$F$2:$F$201, MATCH(Q71, '3_GrowthInputs'!$G$2:$G$201, 0)), NA())</f>
        <v>749.09885125010169</v>
      </c>
      <c r="G71" s="2">
        <f t="shared" si="23"/>
        <v>30.101297721169697</v>
      </c>
      <c r="H71" s="2">
        <f t="shared" si="24"/>
        <v>0.26229121617741968</v>
      </c>
      <c r="I71" s="2">
        <f t="shared" si="25"/>
        <v>7.8953059878041918</v>
      </c>
      <c r="J71" s="2">
        <f t="shared" si="26"/>
        <v>37.996603708973886</v>
      </c>
      <c r="K71" s="23">
        <f t="shared" si="27"/>
        <v>65.480813725131654</v>
      </c>
      <c r="Q71" t="str">
        <f t="shared" si="28"/>
        <v>Dawadawa|30</v>
      </c>
      <c r="Y71">
        <f>Y70*(1-AB2) + MAX(0,J70-J71)</f>
        <v>0</v>
      </c>
      <c r="Z71">
        <f t="shared" si="29"/>
        <v>37.996603708973886</v>
      </c>
    </row>
    <row r="72" spans="1:26" ht="16" customHeight="1" x14ac:dyDescent="0.2">
      <c r="A72" s="15" t="s">
        <v>13</v>
      </c>
      <c r="B72" s="2">
        <v>31</v>
      </c>
      <c r="C72" s="2">
        <f t="shared" si="20"/>
        <v>70</v>
      </c>
      <c r="D72" s="2">
        <f t="shared" si="21"/>
        <v>0.56830731054342476</v>
      </c>
      <c r="E72" s="2">
        <f t="shared" si="22"/>
        <v>39.781511738039733</v>
      </c>
      <c r="F72" s="2">
        <f>IFERROR(INDEX('3_GrowthInputs'!$F$2:$F$201, MATCH(Q72, '3_GrowthInputs'!$G$2:$G$201, 0)), NA())</f>
        <v>798.61317059367275</v>
      </c>
      <c r="G72" s="2">
        <f t="shared" si="23"/>
        <v>31.770039220125319</v>
      </c>
      <c r="H72" s="2">
        <f t="shared" si="24"/>
        <v>0.2612404158809985</v>
      </c>
      <c r="I72" s="2">
        <f t="shared" si="25"/>
        <v>8.2996182584211713</v>
      </c>
      <c r="J72" s="2">
        <f t="shared" si="26"/>
        <v>40.069657478546489</v>
      </c>
      <c r="K72" s="23">
        <f t="shared" si="27"/>
        <v>69.053376388028454</v>
      </c>
      <c r="Q72" t="str">
        <f t="shared" si="28"/>
        <v>Dawadawa|31</v>
      </c>
      <c r="Y72">
        <f>Y71*(1-AB2) + MAX(0,J71-J72)</f>
        <v>0</v>
      </c>
      <c r="Z72">
        <f t="shared" si="29"/>
        <v>40.069657478546489</v>
      </c>
    </row>
    <row r="73" spans="1:26" ht="16" customHeight="1" x14ac:dyDescent="0.2">
      <c r="A73" s="15" t="s">
        <v>13</v>
      </c>
      <c r="B73" s="2">
        <v>32</v>
      </c>
      <c r="C73" s="2">
        <f t="shared" si="20"/>
        <v>70</v>
      </c>
      <c r="D73" s="2">
        <f t="shared" si="21"/>
        <v>0.5626242374379905</v>
      </c>
      <c r="E73" s="2">
        <f t="shared" si="22"/>
        <v>39.383696620659336</v>
      </c>
      <c r="F73" s="2">
        <f>IFERROR(INDEX('3_GrowthInputs'!$F$2:$F$201, MATCH(Q73, '3_GrowthInputs'!$G$2:$G$201, 0)), NA())</f>
        <v>849.67179017080196</v>
      </c>
      <c r="G73" s="2">
        <f t="shared" si="23"/>
        <v>33.46321601121938</v>
      </c>
      <c r="H73" s="2">
        <f t="shared" si="24"/>
        <v>0.26023316994710699</v>
      </c>
      <c r="I73" s="2">
        <f t="shared" si="25"/>
        <v>8.7082387792244038</v>
      </c>
      <c r="J73" s="2">
        <f t="shared" si="26"/>
        <v>42.171454790443782</v>
      </c>
      <c r="K73" s="23">
        <f t="shared" si="27"/>
        <v>72.675473755531442</v>
      </c>
      <c r="Q73" t="str">
        <f t="shared" si="28"/>
        <v>Dawadawa|32</v>
      </c>
      <c r="Y73">
        <f>Y72*(1-AB2) + MAX(0,J72-J73)</f>
        <v>0</v>
      </c>
      <c r="Z73">
        <f t="shared" si="29"/>
        <v>42.171454790443782</v>
      </c>
    </row>
    <row r="74" spans="1:26" ht="16" customHeight="1" x14ac:dyDescent="0.2">
      <c r="A74" s="15" t="s">
        <v>13</v>
      </c>
      <c r="B74" s="2">
        <v>33</v>
      </c>
      <c r="C74" s="2">
        <f t="shared" si="20"/>
        <v>70</v>
      </c>
      <c r="D74" s="2">
        <f t="shared" si="21"/>
        <v>0.55699799506361058</v>
      </c>
      <c r="E74" s="2">
        <f t="shared" si="22"/>
        <v>38.989859654452744</v>
      </c>
      <c r="F74" s="2">
        <f>IFERROR(INDEX('3_GrowthInputs'!$F$2:$F$201, MATCH(Q74, '3_GrowthInputs'!$G$2:$G$201, 0)), NA())</f>
        <v>902.27235794275009</v>
      </c>
      <c r="G74" s="2">
        <f t="shared" si="23"/>
        <v>35.179472606279973</v>
      </c>
      <c r="H74" s="2">
        <f t="shared" si="24"/>
        <v>0.25926659341985286</v>
      </c>
      <c r="I74" s="2">
        <f t="shared" si="25"/>
        <v>9.120862020937242</v>
      </c>
      <c r="J74" s="2">
        <f t="shared" si="26"/>
        <v>44.300334627217211</v>
      </c>
      <c r="K74" s="23">
        <f t="shared" si="27"/>
        <v>76.344243340904328</v>
      </c>
      <c r="Q74" t="str">
        <f t="shared" si="28"/>
        <v>Dawadawa|33</v>
      </c>
      <c r="Y74">
        <f>Y73*(1-AB2) + MAX(0,J73-J74)</f>
        <v>0</v>
      </c>
      <c r="Z74">
        <f t="shared" si="29"/>
        <v>44.300334627217211</v>
      </c>
    </row>
    <row r="75" spans="1:26" ht="16" customHeight="1" x14ac:dyDescent="0.2">
      <c r="A75" s="15" t="s">
        <v>13</v>
      </c>
      <c r="B75" s="2">
        <v>34</v>
      </c>
      <c r="C75" s="2">
        <f t="shared" si="20"/>
        <v>70</v>
      </c>
      <c r="D75" s="2">
        <f t="shared" si="21"/>
        <v>0.55142801511297446</v>
      </c>
      <c r="E75" s="2">
        <f t="shared" si="22"/>
        <v>38.59996105790821</v>
      </c>
      <c r="F75" s="2">
        <f>IFERROR(INDEX('3_GrowthInputs'!$F$2:$F$201, MATCH(Q75, '3_GrowthInputs'!$G$2:$G$201, 0)), NA())</f>
        <v>956.41259769575186</v>
      </c>
      <c r="G75" s="2">
        <f t="shared" si="23"/>
        <v>36.917489026348854</v>
      </c>
      <c r="H75" s="2">
        <f t="shared" si="24"/>
        <v>0.25833807245678403</v>
      </c>
      <c r="I75" s="2">
        <f t="shared" si="25"/>
        <v>9.5371929550114398</v>
      </c>
      <c r="J75" s="2">
        <f t="shared" si="26"/>
        <v>46.454681981360295</v>
      </c>
      <c r="K75" s="23">
        <f t="shared" si="27"/>
        <v>80.056901947877563</v>
      </c>
      <c r="Q75" t="str">
        <f t="shared" si="28"/>
        <v>Dawadawa|34</v>
      </c>
      <c r="Y75">
        <f>Y74*(1-AB2) + MAX(0,J74-J75)</f>
        <v>0</v>
      </c>
      <c r="Z75">
        <f t="shared" si="29"/>
        <v>46.454681981360295</v>
      </c>
    </row>
    <row r="76" spans="1:26" ht="16" customHeight="1" x14ac:dyDescent="0.2">
      <c r="A76" s="15" t="s">
        <v>13</v>
      </c>
      <c r="B76" s="2">
        <v>35</v>
      </c>
      <c r="C76" s="2">
        <f t="shared" si="20"/>
        <v>70</v>
      </c>
      <c r="D76" s="2">
        <f t="shared" si="21"/>
        <v>0.5459137349618447</v>
      </c>
      <c r="E76" s="2">
        <f t="shared" si="22"/>
        <v>38.213961447329126</v>
      </c>
      <c r="F76" s="2">
        <f>IFERROR(INDEX('3_GrowthInputs'!$F$2:$F$201, MATCH(Q76, '3_GrowthInputs'!$G$2:$G$201, 0)), NA())</f>
        <v>1012.0903044056284</v>
      </c>
      <c r="G76" s="2">
        <f t="shared" si="23"/>
        <v>38.675979873772285</v>
      </c>
      <c r="H76" s="2">
        <f t="shared" si="24"/>
        <v>0.25744523176411688</v>
      </c>
      <c r="I76" s="2">
        <f t="shared" si="25"/>
        <v>9.9569466023076263</v>
      </c>
      <c r="J76" s="2">
        <f t="shared" si="26"/>
        <v>48.632926476079909</v>
      </c>
      <c r="K76" s="23">
        <f t="shared" si="27"/>
        <v>83.810743293777691</v>
      </c>
      <c r="Q76" t="str">
        <f t="shared" si="28"/>
        <v>Dawadawa|35</v>
      </c>
      <c r="Y76">
        <f>Y75*(1-AB2) + MAX(0,J75-J76)</f>
        <v>0</v>
      </c>
      <c r="Z76">
        <f t="shared" si="29"/>
        <v>48.632926476079909</v>
      </c>
    </row>
    <row r="77" spans="1:26" ht="16" customHeight="1" x14ac:dyDescent="0.2">
      <c r="A77" s="15" t="s">
        <v>13</v>
      </c>
      <c r="B77" s="2">
        <v>36</v>
      </c>
      <c r="C77" s="2">
        <f t="shared" si="20"/>
        <v>70</v>
      </c>
      <c r="D77" s="2">
        <f t="shared" si="21"/>
        <v>0.54045459761222625</v>
      </c>
      <c r="E77" s="2">
        <f t="shared" si="22"/>
        <v>37.831821832855837</v>
      </c>
      <c r="F77" s="2">
        <f>IFERROR(INDEX('3_GrowthInputs'!$F$2:$F$201, MATCH(Q77, '3_GrowthInputs'!$G$2:$G$201, 0)), NA())</f>
        <v>1069.3033400120023</v>
      </c>
      <c r="G77" s="2">
        <f t="shared" si="23"/>
        <v>40.453693444611737</v>
      </c>
      <c r="H77" s="2">
        <f t="shared" si="24"/>
        <v>0.25658590674816278</v>
      </c>
      <c r="I77" s="2">
        <f t="shared" si="25"/>
        <v>10.379847613797912</v>
      </c>
      <c r="J77" s="2">
        <f t="shared" si="26"/>
        <v>50.833541058409651</v>
      </c>
      <c r="K77" s="23">
        <f t="shared" si="27"/>
        <v>87.603135757325958</v>
      </c>
      <c r="Q77" t="str">
        <f t="shared" si="28"/>
        <v>Dawadawa|36</v>
      </c>
      <c r="Y77">
        <f>Y76*(1-AB2) + MAX(0,J76-J77)</f>
        <v>0</v>
      </c>
      <c r="Z77">
        <f t="shared" si="29"/>
        <v>50.833541058409651</v>
      </c>
    </row>
    <row r="78" spans="1:26" ht="16" customHeight="1" x14ac:dyDescent="0.2">
      <c r="A78" s="15" t="s">
        <v>13</v>
      </c>
      <c r="B78" s="2">
        <v>37</v>
      </c>
      <c r="C78" s="2">
        <f t="shared" si="20"/>
        <v>70</v>
      </c>
      <c r="D78" s="2">
        <f t="shared" si="21"/>
        <v>0.53505005163610397</v>
      </c>
      <c r="E78" s="2">
        <f t="shared" si="22"/>
        <v>37.453503614527278</v>
      </c>
      <c r="F78" s="2">
        <f>IFERROR(INDEX('3_GrowthInputs'!$F$2:$F$201, MATCH(Q78, '3_GrowthInputs'!$G$2:$G$201, 0)), NA())</f>
        <v>1128.0496295553899</v>
      </c>
      <c r="G78" s="2">
        <f t="shared" si="23"/>
        <v>42.249410877918947</v>
      </c>
      <c r="H78" s="2">
        <f t="shared" si="24"/>
        <v>0.25575811958968225</v>
      </c>
      <c r="I78" s="2">
        <f t="shared" si="25"/>
        <v>10.805629879908416</v>
      </c>
      <c r="J78" s="2">
        <f t="shared" si="26"/>
        <v>53.055040757827364</v>
      </c>
      <c r="K78" s="23">
        <f t="shared" si="27"/>
        <v>91.431520239322481</v>
      </c>
      <c r="Q78" t="str">
        <f t="shared" si="28"/>
        <v>Dawadawa|37</v>
      </c>
      <c r="Y78">
        <f>Y77*(1-AB2) + MAX(0,J77-J78)</f>
        <v>0</v>
      </c>
      <c r="Z78">
        <f t="shared" si="29"/>
        <v>53.055040757827364</v>
      </c>
    </row>
    <row r="79" spans="1:26" ht="16" customHeight="1" x14ac:dyDescent="0.2">
      <c r="A79" s="15" t="s">
        <v>13</v>
      </c>
      <c r="B79" s="2">
        <v>38</v>
      </c>
      <c r="C79" s="2">
        <f t="shared" si="20"/>
        <v>70</v>
      </c>
      <c r="D79" s="2">
        <f t="shared" si="21"/>
        <v>0.52969955111974298</v>
      </c>
      <c r="E79" s="2">
        <f t="shared" si="22"/>
        <v>37.07896857838201</v>
      </c>
      <c r="F79" s="2">
        <f>IFERROR(INDEX('3_GrowthInputs'!$F$2:$F$201, MATCH(Q79, '3_GrowthInputs'!$G$2:$G$201, 0)), NA())</f>
        <v>1188.3271576369132</v>
      </c>
      <c r="G79" s="2">
        <f t="shared" si="23"/>
        <v>44.061945338857115</v>
      </c>
      <c r="H79" s="2">
        <f t="shared" si="24"/>
        <v>0.25496005859889082</v>
      </c>
      <c r="I79" s="2">
        <f t="shared" si="25"/>
        <v>11.234036165576134</v>
      </c>
      <c r="J79" s="2">
        <f t="shared" si="26"/>
        <v>55.29598150443325</v>
      </c>
      <c r="K79" s="23">
        <f t="shared" si="27"/>
        <v>95.293408125973286</v>
      </c>
      <c r="Q79" t="str">
        <f t="shared" si="28"/>
        <v>Dawadawa|38</v>
      </c>
      <c r="Y79">
        <f>Y78*(1-AB2) + MAX(0,J78-J79)</f>
        <v>0</v>
      </c>
      <c r="Z79">
        <f t="shared" si="29"/>
        <v>55.29598150443325</v>
      </c>
    </row>
    <row r="80" spans="1:26" ht="16" customHeight="1" x14ac:dyDescent="0.2">
      <c r="A80" s="15" t="s">
        <v>13</v>
      </c>
      <c r="B80" s="2">
        <v>39</v>
      </c>
      <c r="C80" s="2">
        <f t="shared" si="20"/>
        <v>70</v>
      </c>
      <c r="D80" s="2">
        <f t="shared" si="21"/>
        <v>0.52440255560854543</v>
      </c>
      <c r="E80" s="2">
        <f t="shared" si="22"/>
        <v>36.708178892598177</v>
      </c>
      <c r="F80" s="2">
        <f>IFERROR(INDEX('3_GrowthInputs'!$F$2:$F$201, MATCH(Q80, '3_GrowthInputs'!$G$2:$G$201, 0)), NA())</f>
        <v>1250.1339651657986</v>
      </c>
      <c r="G80" s="2">
        <f t="shared" si="23"/>
        <v>45.890141233019236</v>
      </c>
      <c r="H80" s="2">
        <f t="shared" si="24"/>
        <v>0.25419006032792019</v>
      </c>
      <c r="I80" s="2">
        <f t="shared" si="25"/>
        <v>11.664817768477937</v>
      </c>
      <c r="J80" s="2">
        <f t="shared" si="26"/>
        <v>57.554959001497174</v>
      </c>
      <c r="K80" s="23">
        <f t="shared" si="27"/>
        <v>99.186379345913451</v>
      </c>
      <c r="Q80" t="str">
        <f t="shared" si="28"/>
        <v>Dawadawa|39</v>
      </c>
      <c r="Y80">
        <f>Y79*(1-AB2) + MAX(0,J79-J80)</f>
        <v>0</v>
      </c>
      <c r="Z80">
        <f t="shared" si="29"/>
        <v>57.554959001497174</v>
      </c>
    </row>
    <row r="81" spans="1:26" ht="16" customHeight="1" x14ac:dyDescent="0.2">
      <c r="A81" s="15" t="s">
        <v>13</v>
      </c>
      <c r="B81" s="2">
        <v>40</v>
      </c>
      <c r="C81" s="2">
        <f t="shared" si="20"/>
        <v>70</v>
      </c>
      <c r="D81" s="2">
        <f t="shared" si="21"/>
        <v>0.51915853005246004</v>
      </c>
      <c r="E81" s="2">
        <f t="shared" si="22"/>
        <v>36.341097103672205</v>
      </c>
      <c r="F81" s="2">
        <f>IFERROR(INDEX('3_GrowthInputs'!$F$2:$F$201, MATCH(Q81, '3_GrowthInputs'!$G$2:$G$201, 0)), NA())</f>
        <v>1313.4681463643856</v>
      </c>
      <c r="G81" s="2">
        <f t="shared" si="23"/>
        <v>47.732873449608469</v>
      </c>
      <c r="H81" s="2">
        <f t="shared" si="24"/>
        <v>0.25344659401209096</v>
      </c>
      <c r="I81" s="2">
        <f t="shared" si="25"/>
        <v>12.097734198213434</v>
      </c>
      <c r="J81" s="2">
        <f t="shared" si="26"/>
        <v>59.830607647821907</v>
      </c>
      <c r="K81" s="23">
        <f t="shared" si="27"/>
        <v>103.10808051307976</v>
      </c>
      <c r="Q81" t="str">
        <f t="shared" si="28"/>
        <v>Dawadawa|40</v>
      </c>
      <c r="Y81">
        <f>Y80*(1-AB2) + MAX(0,J80-J81)</f>
        <v>0</v>
      </c>
      <c r="Z81">
        <f t="shared" si="29"/>
        <v>59.830607647821907</v>
      </c>
    </row>
    <row r="82" spans="1:26" ht="16" customHeight="1" x14ac:dyDescent="0.2">
      <c r="A82" s="15" t="s">
        <v>15</v>
      </c>
      <c r="B82" s="2">
        <v>1</v>
      </c>
      <c r="C82" s="2">
        <f t="shared" si="20"/>
        <v>79</v>
      </c>
      <c r="D82" s="2">
        <f t="shared" si="21"/>
        <v>0.75</v>
      </c>
      <c r="E82" s="2">
        <f t="shared" si="22"/>
        <v>59.25</v>
      </c>
      <c r="F82" s="2">
        <f>IFERROR(INDEX('3_GrowthInputs'!$F$2:$F$201, MATCH(Q82, '3_GrowthInputs'!$G$2:$G$201, 0)), NA())</f>
        <v>2.3060405465592209</v>
      </c>
      <c r="G82" s="2">
        <f t="shared" si="23"/>
        <v>0.13663290238363385</v>
      </c>
      <c r="H82" s="2">
        <f t="shared" si="24"/>
        <v>0.39183675688975228</v>
      </c>
      <c r="I82" s="2">
        <f t="shared" si="25"/>
        <v>5.3537793354437188E-2</v>
      </c>
      <c r="J82" s="2">
        <f t="shared" si="26"/>
        <v>0.19017069573807105</v>
      </c>
      <c r="K82" s="23">
        <f t="shared" si="27"/>
        <v>0.32772749898860909</v>
      </c>
      <c r="Q82" t="str">
        <f t="shared" si="28"/>
        <v>Mango|1</v>
      </c>
      <c r="Y82">
        <v>0</v>
      </c>
      <c r="Z82">
        <f t="shared" si="29"/>
        <v>0.19017069573807105</v>
      </c>
    </row>
    <row r="83" spans="1:26" ht="16" customHeight="1" x14ac:dyDescent="0.2">
      <c r="A83" s="15" t="s">
        <v>15</v>
      </c>
      <c r="B83" s="2">
        <v>2</v>
      </c>
      <c r="C83" s="2">
        <f t="shared" si="20"/>
        <v>79</v>
      </c>
      <c r="D83" s="2">
        <f t="shared" si="21"/>
        <v>0.71249999999999991</v>
      </c>
      <c r="E83" s="2">
        <f t="shared" si="22"/>
        <v>56.287499999999994</v>
      </c>
      <c r="F83" s="2">
        <f>IFERROR(INDEX('3_GrowthInputs'!$F$2:$F$201, MATCH(Q83, '3_GrowthInputs'!$G$2:$G$201, 0)), NA())</f>
        <v>3.3456653824075251</v>
      </c>
      <c r="G83" s="2">
        <f t="shared" si="23"/>
        <v>0.18831914021226356</v>
      </c>
      <c r="H83" s="2">
        <f t="shared" si="24"/>
        <v>0.38259416223196113</v>
      </c>
      <c r="I83" s="2">
        <f t="shared" si="25"/>
        <v>7.2049803681754204E-2</v>
      </c>
      <c r="J83" s="2">
        <f t="shared" si="26"/>
        <v>0.26036894389401777</v>
      </c>
      <c r="K83" s="23">
        <f t="shared" si="27"/>
        <v>0.44870247997735724</v>
      </c>
      <c r="Q83" t="str">
        <f t="shared" si="28"/>
        <v>Mango|2</v>
      </c>
      <c r="Y83">
        <f>Y82*(1-AB2) + MAX(0,J82-J83)</f>
        <v>0</v>
      </c>
      <c r="Z83">
        <f t="shared" si="29"/>
        <v>0.26036894389401777</v>
      </c>
    </row>
    <row r="84" spans="1:26" ht="16" customHeight="1" x14ac:dyDescent="0.2">
      <c r="A84" s="15" t="s">
        <v>15</v>
      </c>
      <c r="B84" s="2">
        <v>3</v>
      </c>
      <c r="C84" s="2">
        <f t="shared" si="20"/>
        <v>79</v>
      </c>
      <c r="D84" s="2">
        <f t="shared" si="21"/>
        <v>0.676875</v>
      </c>
      <c r="E84" s="2">
        <f t="shared" si="22"/>
        <v>53.473125000000003</v>
      </c>
      <c r="F84" s="2">
        <f>IFERROR(INDEX('3_GrowthInputs'!$F$2:$F$201, MATCH(Q84, '3_GrowthInputs'!$G$2:$G$201, 0)), NA())</f>
        <v>4.8396635746482994</v>
      </c>
      <c r="G84" s="2">
        <f t="shared" si="23"/>
        <v>0.25879193528511535</v>
      </c>
      <c r="H84" s="2">
        <f t="shared" si="24"/>
        <v>0.37365169113943869</v>
      </c>
      <c r="I84" s="2">
        <f t="shared" si="25"/>
        <v>9.6698044272531522E-2</v>
      </c>
      <c r="J84" s="2">
        <f t="shared" si="26"/>
        <v>0.35548997955764688</v>
      </c>
      <c r="K84" s="23">
        <f t="shared" si="27"/>
        <v>0.61262773143767801</v>
      </c>
      <c r="Q84" t="str">
        <f t="shared" si="28"/>
        <v>Mango|3</v>
      </c>
      <c r="Y84">
        <f>Y83*(1-AB2) + MAX(0,J83-J84)</f>
        <v>0</v>
      </c>
      <c r="Z84">
        <f t="shared" si="29"/>
        <v>0.35548997955764688</v>
      </c>
    </row>
    <row r="85" spans="1:26" ht="16" customHeight="1" x14ac:dyDescent="0.2">
      <c r="A85" s="15" t="s">
        <v>15</v>
      </c>
      <c r="B85" s="2">
        <v>4</v>
      </c>
      <c r="C85" s="2">
        <f t="shared" si="20"/>
        <v>79</v>
      </c>
      <c r="D85" s="2">
        <f t="shared" si="21"/>
        <v>0.67010625000000001</v>
      </c>
      <c r="E85" s="2">
        <f t="shared" si="22"/>
        <v>52.938393750000003</v>
      </c>
      <c r="F85" s="2">
        <f>IFERROR(INDEX('3_GrowthInputs'!$F$2:$F$201, MATCH(Q85, '3_GrowthInputs'!$G$2:$G$201, 0)), NA())</f>
        <v>6.9733130096108997</v>
      </c>
      <c r="G85" s="2">
        <f t="shared" si="23"/>
        <v>0.36915598984477938</v>
      </c>
      <c r="H85" s="2">
        <f t="shared" si="24"/>
        <v>0.36390671468605224</v>
      </c>
      <c r="I85" s="2">
        <f t="shared" si="25"/>
        <v>0.13433834347109133</v>
      </c>
      <c r="J85" s="2">
        <f t="shared" si="26"/>
        <v>0.50349433331587068</v>
      </c>
      <c r="K85" s="23">
        <f t="shared" si="27"/>
        <v>0.86768856774768377</v>
      </c>
      <c r="Q85" t="str">
        <f t="shared" si="28"/>
        <v>Mango|4</v>
      </c>
      <c r="Y85">
        <f>Y84*(1-AB2) + MAX(0,J84-J85)</f>
        <v>0</v>
      </c>
      <c r="Z85">
        <f t="shared" si="29"/>
        <v>0.50349433331587068</v>
      </c>
    </row>
    <row r="86" spans="1:26" ht="16" customHeight="1" x14ac:dyDescent="0.2">
      <c r="A86" s="15" t="s">
        <v>15</v>
      </c>
      <c r="B86" s="2">
        <v>5</v>
      </c>
      <c r="C86" s="2">
        <f t="shared" si="20"/>
        <v>79</v>
      </c>
      <c r="D86" s="2">
        <f t="shared" si="21"/>
        <v>0.66340518749999999</v>
      </c>
      <c r="E86" s="2">
        <f t="shared" si="22"/>
        <v>52.409009812500003</v>
      </c>
      <c r="F86" s="2">
        <f>IFERROR(INDEX('3_GrowthInputs'!$F$2:$F$201, MATCH(Q86, '3_GrowthInputs'!$G$2:$G$201, 0)), NA())</f>
        <v>10.012970325552732</v>
      </c>
      <c r="G86" s="2">
        <f t="shared" si="23"/>
        <v>0.52476986004416448</v>
      </c>
      <c r="H86" s="2">
        <f t="shared" si="24"/>
        <v>0.35450698949702175</v>
      </c>
      <c r="I86" s="2">
        <f t="shared" si="25"/>
        <v>0.18603458326303018</v>
      </c>
      <c r="J86" s="2">
        <f t="shared" si="26"/>
        <v>0.71080444330719472</v>
      </c>
      <c r="K86" s="23">
        <f t="shared" si="27"/>
        <v>1.2249529906327321</v>
      </c>
      <c r="Q86" t="str">
        <f t="shared" si="28"/>
        <v>Mango|5</v>
      </c>
      <c r="Y86">
        <f>Y85*(1-AB2) + MAX(0,J85-J86)</f>
        <v>0</v>
      </c>
      <c r="Z86">
        <f t="shared" si="29"/>
        <v>0.71080444330719472</v>
      </c>
    </row>
    <row r="87" spans="1:26" ht="16" customHeight="1" x14ac:dyDescent="0.2">
      <c r="A87" s="15" t="s">
        <v>15</v>
      </c>
      <c r="B87" s="2">
        <v>6</v>
      </c>
      <c r="C87" s="2">
        <f t="shared" si="20"/>
        <v>79</v>
      </c>
      <c r="D87" s="2">
        <f t="shared" si="21"/>
        <v>0.65677113562499989</v>
      </c>
      <c r="E87" s="2">
        <f t="shared" si="22"/>
        <v>51.884919714374995</v>
      </c>
      <c r="F87" s="2">
        <f>IFERROR(INDEX('3_GrowthInputs'!$F$2:$F$201, MATCH(Q87, '3_GrowthInputs'!$G$2:$G$201, 0)), NA())</f>
        <v>14.305614759162633</v>
      </c>
      <c r="G87" s="2">
        <f t="shared" si="23"/>
        <v>0.74224567324393131</v>
      </c>
      <c r="H87" s="2">
        <f t="shared" si="24"/>
        <v>0.34547906864528788</v>
      </c>
      <c r="I87" s="2">
        <f t="shared" si="25"/>
        <v>0.25643034389830804</v>
      </c>
      <c r="J87" s="2">
        <f t="shared" si="26"/>
        <v>0.9986760171422393</v>
      </c>
      <c r="K87" s="23">
        <f t="shared" si="27"/>
        <v>1.7210516695417923</v>
      </c>
      <c r="Q87" t="str">
        <f t="shared" si="28"/>
        <v>Mango|6</v>
      </c>
      <c r="Y87">
        <f>Y86*(1-AB2) + MAX(0,J86-J87)</f>
        <v>0</v>
      </c>
      <c r="Z87">
        <f t="shared" si="29"/>
        <v>0.9986760171422393</v>
      </c>
    </row>
    <row r="88" spans="1:26" ht="16" customHeight="1" x14ac:dyDescent="0.2">
      <c r="A88" s="15" t="s">
        <v>15</v>
      </c>
      <c r="B88" s="2">
        <v>7</v>
      </c>
      <c r="C88" s="2">
        <f t="shared" si="20"/>
        <v>79</v>
      </c>
      <c r="D88" s="2">
        <f t="shared" si="21"/>
        <v>0.65020342426875</v>
      </c>
      <c r="E88" s="2">
        <f t="shared" si="22"/>
        <v>51.36607051723125</v>
      </c>
      <c r="F88" s="2">
        <f>IFERROR(INDEX('3_GrowthInputs'!$F$2:$F$201, MATCH(Q88, '3_GrowthInputs'!$G$2:$G$201, 0)), NA())</f>
        <v>20.328602430209767</v>
      </c>
      <c r="G88" s="2">
        <f t="shared" si="23"/>
        <v>1.0442004259469133</v>
      </c>
      <c r="H88" s="2">
        <f t="shared" si="24"/>
        <v>0.33681619667726015</v>
      </c>
      <c r="I88" s="2">
        <f t="shared" si="25"/>
        <v>0.35170361603621436</v>
      </c>
      <c r="J88" s="2">
        <f t="shared" si="26"/>
        <v>1.3959040419831277</v>
      </c>
      <c r="K88" s="23">
        <f t="shared" si="27"/>
        <v>2.4056079656842564</v>
      </c>
      <c r="Q88" t="str">
        <f t="shared" si="28"/>
        <v>Mango|7</v>
      </c>
      <c r="Y88">
        <f>Y87*(1-AB2) + MAX(0,J87-J88)</f>
        <v>0</v>
      </c>
      <c r="Z88">
        <f t="shared" si="29"/>
        <v>1.3959040419831277</v>
      </c>
    </row>
    <row r="89" spans="1:26" ht="16" customHeight="1" x14ac:dyDescent="0.2">
      <c r="A89" s="15" t="s">
        <v>15</v>
      </c>
      <c r="B89" s="2">
        <v>8</v>
      </c>
      <c r="C89" s="2">
        <f t="shared" si="20"/>
        <v>79</v>
      </c>
      <c r="D89" s="2">
        <f t="shared" si="21"/>
        <v>0.64370139002606241</v>
      </c>
      <c r="E89" s="2">
        <f t="shared" si="22"/>
        <v>50.85240981205893</v>
      </c>
      <c r="F89" s="2">
        <f>IFERROR(INDEX('3_GrowthInputs'!$F$2:$F$201, MATCH(Q89, '3_GrowthInputs'!$G$2:$G$201, 0)), NA())</f>
        <v>28.72471627662814</v>
      </c>
      <c r="G89" s="2">
        <f t="shared" si="23"/>
        <v>1.4607210438342138</v>
      </c>
      <c r="H89" s="2">
        <f t="shared" si="24"/>
        <v>0.32850855284092262</v>
      </c>
      <c r="I89" s="2">
        <f t="shared" si="25"/>
        <v>0.47985935621425946</v>
      </c>
      <c r="J89" s="2">
        <f t="shared" si="26"/>
        <v>1.9405804000484732</v>
      </c>
      <c r="K89" s="23">
        <f t="shared" si="27"/>
        <v>3.3442668894168683</v>
      </c>
      <c r="Q89" t="str">
        <f t="shared" si="28"/>
        <v>Mango|8</v>
      </c>
      <c r="Y89">
        <f>Y88*(1-AB2) + MAX(0,J88-J89)</f>
        <v>0</v>
      </c>
      <c r="Z89">
        <f t="shared" si="29"/>
        <v>1.9405804000484732</v>
      </c>
    </row>
    <row r="90" spans="1:26" ht="16" customHeight="1" x14ac:dyDescent="0.2">
      <c r="A90" s="15" t="s">
        <v>15</v>
      </c>
      <c r="B90" s="2">
        <v>9</v>
      </c>
      <c r="C90" s="2">
        <f t="shared" si="20"/>
        <v>79</v>
      </c>
      <c r="D90" s="2">
        <f t="shared" si="21"/>
        <v>0.63726437612580178</v>
      </c>
      <c r="E90" s="2">
        <f t="shared" si="22"/>
        <v>50.343885713938342</v>
      </c>
      <c r="F90" s="2">
        <f>IFERROR(INDEX('3_GrowthInputs'!$F$2:$F$201, MATCH(Q90, '3_GrowthInputs'!$G$2:$G$201, 0)), NA())</f>
        <v>40.309125349564937</v>
      </c>
      <c r="G90" s="2">
        <f t="shared" si="23"/>
        <v>2.0293179998273123</v>
      </c>
      <c r="H90" s="2">
        <f t="shared" si="24"/>
        <v>0.3205705624096496</v>
      </c>
      <c r="I90" s="2">
        <f t="shared" si="25"/>
        <v>0.65053961251266668</v>
      </c>
      <c r="J90" s="2">
        <f t="shared" si="26"/>
        <v>2.6798576123399789</v>
      </c>
      <c r="K90" s="23">
        <f t="shared" si="27"/>
        <v>4.6182879519325626</v>
      </c>
      <c r="Q90" t="str">
        <f t="shared" si="28"/>
        <v>Mango|9</v>
      </c>
      <c r="Y90">
        <f>Y89*(1-AB2) + MAX(0,J89-J90)</f>
        <v>0</v>
      </c>
      <c r="Z90">
        <f t="shared" si="29"/>
        <v>2.6798576123399789</v>
      </c>
    </row>
    <row r="91" spans="1:26" ht="16" customHeight="1" x14ac:dyDescent="0.2">
      <c r="A91" s="15" t="s">
        <v>15</v>
      </c>
      <c r="B91" s="2">
        <v>10</v>
      </c>
      <c r="C91" s="2">
        <f t="shared" si="20"/>
        <v>79</v>
      </c>
      <c r="D91" s="2">
        <f t="shared" si="21"/>
        <v>0.63089173236454377</v>
      </c>
      <c r="E91" s="2">
        <f t="shared" si="22"/>
        <v>49.840446856798955</v>
      </c>
      <c r="F91" s="2">
        <f>IFERROR(INDEX('3_GrowthInputs'!$F$2:$F$201, MATCH(Q91, '3_GrowthInputs'!$G$2:$G$201, 0)), NA())</f>
        <v>56.149792911513977</v>
      </c>
      <c r="G91" s="2">
        <f t="shared" si="23"/>
        <v>2.7985307696265789</v>
      </c>
      <c r="H91" s="2">
        <f t="shared" si="24"/>
        <v>0.31299607300135007</v>
      </c>
      <c r="I91" s="2">
        <f t="shared" si="25"/>
        <v>0.87592914106656505</v>
      </c>
      <c r="J91" s="2">
        <f t="shared" si="26"/>
        <v>3.6744599106931437</v>
      </c>
      <c r="K91" s="23">
        <f t="shared" si="27"/>
        <v>6.3323192460945172</v>
      </c>
      <c r="Q91" t="str">
        <f t="shared" si="28"/>
        <v>Mango|10</v>
      </c>
      <c r="Y91">
        <f>Y90*(1-AB2) + MAX(0,J90-J91)</f>
        <v>0</v>
      </c>
      <c r="Z91">
        <f t="shared" si="29"/>
        <v>3.6744599106931437</v>
      </c>
    </row>
    <row r="92" spans="1:26" ht="16" customHeight="1" x14ac:dyDescent="0.2">
      <c r="A92" s="15" t="s">
        <v>15</v>
      </c>
      <c r="B92" s="2">
        <v>11</v>
      </c>
      <c r="C92" s="2">
        <f t="shared" si="20"/>
        <v>79</v>
      </c>
      <c r="D92" s="2">
        <f t="shared" si="21"/>
        <v>0.6245828150408983</v>
      </c>
      <c r="E92" s="2">
        <f t="shared" si="22"/>
        <v>49.342042388230965</v>
      </c>
      <c r="F92" s="2">
        <f>IFERROR(INDEX('3_GrowthInputs'!$F$2:$F$201, MATCH(Q92, '3_GrowthInputs'!$G$2:$G$201, 0)), NA())</f>
        <v>77.562989934105659</v>
      </c>
      <c r="G92" s="2">
        <f t="shared" si="23"/>
        <v>3.8271163370865731</v>
      </c>
      <c r="H92" s="2">
        <f t="shared" si="24"/>
        <v>0.30579109586796926</v>
      </c>
      <c r="I92" s="2">
        <f t="shared" si="25"/>
        <v>1.1702980987319116</v>
      </c>
      <c r="J92" s="2">
        <f t="shared" si="26"/>
        <v>4.9974144358184844</v>
      </c>
      <c r="K92" s="23">
        <f t="shared" si="27"/>
        <v>8.612210877727188</v>
      </c>
      <c r="Q92" t="str">
        <f t="shared" si="28"/>
        <v>Mango|11</v>
      </c>
      <c r="Y92">
        <f>Y91*(1-AB2) + MAX(0,J91-J92)</f>
        <v>0</v>
      </c>
      <c r="Z92">
        <f t="shared" si="29"/>
        <v>4.9974144358184844</v>
      </c>
    </row>
    <row r="93" spans="1:26" ht="16" customHeight="1" x14ac:dyDescent="0.2">
      <c r="A93" s="15" t="s">
        <v>15</v>
      </c>
      <c r="B93" s="2">
        <v>12</v>
      </c>
      <c r="C93" s="2">
        <f t="shared" si="20"/>
        <v>79</v>
      </c>
      <c r="D93" s="2">
        <f t="shared" si="21"/>
        <v>0.61833698689048933</v>
      </c>
      <c r="E93" s="2">
        <f t="shared" si="22"/>
        <v>48.848621964348659</v>
      </c>
      <c r="F93" s="2">
        <f>IFERROR(INDEX('3_GrowthInputs'!$F$2:$F$201, MATCH(Q93, '3_GrowthInputs'!$G$2:$G$201, 0)), NA())</f>
        <v>106.15740349508586</v>
      </c>
      <c r="G93" s="2">
        <f t="shared" si="23"/>
        <v>5.1856428720482741</v>
      </c>
      <c r="H93" s="2">
        <f t="shared" si="24"/>
        <v>0.29895730743805421</v>
      </c>
      <c r="I93" s="2">
        <f t="shared" si="25"/>
        <v>1.5502858303628904</v>
      </c>
      <c r="J93" s="2">
        <f t="shared" si="26"/>
        <v>6.7359287024111643</v>
      </c>
      <c r="K93" s="23">
        <f t="shared" si="27"/>
        <v>11.608250463821905</v>
      </c>
      <c r="Q93" t="str">
        <f t="shared" si="28"/>
        <v>Mango|12</v>
      </c>
      <c r="Y93">
        <f>Y92*(1-AB2) + MAX(0,J92-J93)</f>
        <v>0</v>
      </c>
      <c r="Z93">
        <f t="shared" si="29"/>
        <v>6.7359287024111643</v>
      </c>
    </row>
    <row r="94" spans="1:26" ht="16" customHeight="1" x14ac:dyDescent="0.2">
      <c r="A94" s="15" t="s">
        <v>15</v>
      </c>
      <c r="B94" s="2">
        <v>13</v>
      </c>
      <c r="C94" s="2">
        <f t="shared" si="20"/>
        <v>79</v>
      </c>
      <c r="D94" s="2">
        <f t="shared" si="21"/>
        <v>0.61215361702158444</v>
      </c>
      <c r="E94" s="2">
        <f t="shared" si="22"/>
        <v>48.360135744705168</v>
      </c>
      <c r="F94" s="2">
        <f>IFERROR(INDEX('3_GrowthInputs'!$F$2:$F$201, MATCH(Q94, '3_GrowthInputs'!$G$2:$G$201, 0)), NA())</f>
        <v>143.82357150058354</v>
      </c>
      <c r="G94" s="2">
        <f t="shared" si="23"/>
        <v>6.9553274410565304</v>
      </c>
      <c r="H94" s="2">
        <f t="shared" si="24"/>
        <v>0.2924974331004167</v>
      </c>
      <c r="I94" s="2">
        <f t="shared" si="25"/>
        <v>2.0344154228819251</v>
      </c>
      <c r="J94" s="2">
        <f t="shared" si="26"/>
        <v>8.9897428639384565</v>
      </c>
      <c r="K94" s="23">
        <f t="shared" si="27"/>
        <v>15.492323535520605</v>
      </c>
      <c r="Q94" t="str">
        <f t="shared" si="28"/>
        <v>Mango|13</v>
      </c>
      <c r="Y94">
        <f>Y93*(1-AB2) + MAX(0,J93-J94)</f>
        <v>0</v>
      </c>
      <c r="Z94">
        <f t="shared" si="29"/>
        <v>8.9897428639384565</v>
      </c>
    </row>
    <row r="95" spans="1:26" ht="16" customHeight="1" x14ac:dyDescent="0.2">
      <c r="A95" s="15" t="s">
        <v>15</v>
      </c>
      <c r="B95" s="2">
        <v>14</v>
      </c>
      <c r="C95" s="2">
        <f t="shared" si="20"/>
        <v>79</v>
      </c>
      <c r="D95" s="2">
        <f t="shared" si="21"/>
        <v>0.60603208085136862</v>
      </c>
      <c r="E95" s="2">
        <f t="shared" si="22"/>
        <v>47.876534387258118</v>
      </c>
      <c r="F95" s="2">
        <f>IFERROR(INDEX('3_GrowthInputs'!$F$2:$F$201, MATCH(Q95, '3_GrowthInputs'!$G$2:$G$201, 0)), NA())</f>
        <v>192.69417525700186</v>
      </c>
      <c r="G95" s="2">
        <f t="shared" si="23"/>
        <v>9.225529307916192</v>
      </c>
      <c r="H95" s="2">
        <f t="shared" si="24"/>
        <v>0.28641458849856288</v>
      </c>
      <c r="I95" s="2">
        <f t="shared" si="25"/>
        <v>2.6423261804082476</v>
      </c>
      <c r="J95" s="2">
        <f t="shared" si="26"/>
        <v>11.867855488324439</v>
      </c>
      <c r="K95" s="23">
        <f t="shared" si="27"/>
        <v>20.452270958212448</v>
      </c>
      <c r="Q95" t="str">
        <f t="shared" si="28"/>
        <v>Mango|14</v>
      </c>
      <c r="Y95">
        <f>Y94*(1-AB2) + MAX(0,J94-J95)</f>
        <v>0</v>
      </c>
      <c r="Z95">
        <f t="shared" si="29"/>
        <v>11.867855488324439</v>
      </c>
    </row>
    <row r="96" spans="1:26" ht="16" customHeight="1" x14ac:dyDescent="0.2">
      <c r="A96" s="15" t="s">
        <v>15</v>
      </c>
      <c r="B96" s="2">
        <v>15</v>
      </c>
      <c r="C96" s="2">
        <f t="shared" si="20"/>
        <v>79</v>
      </c>
      <c r="D96" s="2">
        <f t="shared" si="21"/>
        <v>0.59997176004285491</v>
      </c>
      <c r="E96" s="2">
        <f t="shared" si="22"/>
        <v>47.397769043385537</v>
      </c>
      <c r="F96" s="2">
        <f>IFERROR(INDEX('3_GrowthInputs'!$F$2:$F$201, MATCH(Q96, '3_GrowthInputs'!$G$2:$G$201, 0)), NA())</f>
        <v>255.10634383759523</v>
      </c>
      <c r="G96" s="2">
        <f t="shared" si="23"/>
        <v>12.091471566716839</v>
      </c>
      <c r="H96" s="2">
        <f t="shared" si="24"/>
        <v>0.28070751380012121</v>
      </c>
      <c r="I96" s="2">
        <f t="shared" si="25"/>
        <v>3.3941669216779404</v>
      </c>
      <c r="J96" s="2">
        <f t="shared" si="26"/>
        <v>15.48563848839478</v>
      </c>
      <c r="K96" s="23">
        <f t="shared" si="27"/>
        <v>26.686916995000335</v>
      </c>
      <c r="Q96" t="str">
        <f t="shared" si="28"/>
        <v>Mango|15</v>
      </c>
      <c r="Y96">
        <f>Y95*(1-AB2) + MAX(0,J95-J96)</f>
        <v>0</v>
      </c>
      <c r="Z96">
        <f t="shared" si="29"/>
        <v>15.48563848839478</v>
      </c>
    </row>
    <row r="97" spans="1:26" ht="16" customHeight="1" x14ac:dyDescent="0.2">
      <c r="A97" s="15" t="s">
        <v>15</v>
      </c>
      <c r="B97" s="2">
        <v>16</v>
      </c>
      <c r="C97" s="2">
        <f t="shared" si="20"/>
        <v>79</v>
      </c>
      <c r="D97" s="2">
        <f t="shared" si="21"/>
        <v>0.5939720424424263</v>
      </c>
      <c r="E97" s="2">
        <f t="shared" si="22"/>
        <v>46.923791352951675</v>
      </c>
      <c r="F97" s="2">
        <f>IFERROR(INDEX('3_GrowthInputs'!$F$2:$F$201, MATCH(Q97, '3_GrowthInputs'!$G$2:$G$201, 0)), NA())</f>
        <v>333.42701782484397</v>
      </c>
      <c r="G97" s="2">
        <f t="shared" si="23"/>
        <v>15.645659815849879</v>
      </c>
      <c r="H97" s="2">
        <f t="shared" si="24"/>
        <v>0.27537694792845596</v>
      </c>
      <c r="I97" s="2">
        <f t="shared" si="25"/>
        <v>4.3084540484156282</v>
      </c>
      <c r="J97" s="2">
        <f t="shared" si="26"/>
        <v>19.954113864265508</v>
      </c>
      <c r="K97" s="23">
        <f t="shared" si="27"/>
        <v>34.387589559417556</v>
      </c>
      <c r="Q97" t="str">
        <f t="shared" si="28"/>
        <v>Mango|16</v>
      </c>
      <c r="Y97">
        <f>Y96*(1-AB2) + MAX(0,J96-J97)</f>
        <v>0</v>
      </c>
      <c r="Z97">
        <f t="shared" si="29"/>
        <v>19.954113864265508</v>
      </c>
    </row>
    <row r="98" spans="1:26" ht="16" customHeight="1" x14ac:dyDescent="0.2">
      <c r="A98" s="15" t="s">
        <v>15</v>
      </c>
      <c r="B98" s="2">
        <v>17</v>
      </c>
      <c r="C98" s="2">
        <f t="shared" ref="C98:C129" si="30">INDEX($N$2:$N$6, MATCH(A98, $M$2:$M$6, 0))</f>
        <v>79</v>
      </c>
      <c r="D98" s="2">
        <f t="shared" ref="D98:D129" si="31">IF(B98=1,INDEX($T$2:$T$6, MATCH(A98, $S$2:$S$6, 0)),INDEX($T$2:$T$6, MATCH(A98, $S$2:$S$6, 0))*POWER(INDEX($U$2:$U$6, MATCH(A98, $S$2:$S$6, 0)),MIN(B98-1,2))*POWER(INDEX($V$2:$V$6, MATCH(A98, $S$2:$S$6, 0)),MAX(MIN(B98-3,17),0))*POWER(INDEX($W$2:$W$6, MATCH(A98, $S$2:$S$6, 0)),MAX(B98-20,0)))</f>
        <v>0.58803232201800204</v>
      </c>
      <c r="E98" s="2">
        <f t="shared" ref="E98:E129" si="32">C98*D98</f>
        <v>46.454553439422163</v>
      </c>
      <c r="F98" s="2">
        <f>IFERROR(INDEX('3_GrowthInputs'!$F$2:$F$201, MATCH(Q98, '3_GrowthInputs'!$G$2:$G$201, 0)), NA())</f>
        <v>429.93244505121737</v>
      </c>
      <c r="G98" s="2">
        <f t="shared" ref="G98:G129" si="33">IF(OR(ISNA(E98),ISNA(F98)),NA(),E98*F98/1000)</f>
        <v>19.972319743973209</v>
      </c>
      <c r="H98" s="2">
        <f t="shared" ref="H98:H129" si="34">IF(ISNA(G98),NA(),IF(G98&gt;0,EXP(-1.085+0.9256*LN(G98))/G98,0))</f>
        <v>0.2704198739230928</v>
      </c>
      <c r="I98" s="2">
        <f t="shared" ref="I98:I129" si="35">IF(OR(ISNA(G98),ISNA(H98)),NA(),G98*H98)</f>
        <v>5.4009121871169326</v>
      </c>
      <c r="J98" s="2">
        <f t="shared" ref="J98:J129" si="36">IF(OR(ISNA(G98),ISNA(I98)),NA(),G98+I98)</f>
        <v>25.373231931090142</v>
      </c>
      <c r="K98" s="23">
        <f t="shared" ref="K98:K129" si="37">Z98*0.47*(44/12)</f>
        <v>43.726536361245337</v>
      </c>
      <c r="Q98" t="str">
        <f t="shared" ref="Q98:Q129" si="38">A98&amp;"|"&amp;B98</f>
        <v>Mango|17</v>
      </c>
      <c r="Y98">
        <f>Y97*(1-AB2) + MAX(0,J97-J98)</f>
        <v>0</v>
      </c>
      <c r="Z98">
        <f t="shared" ref="Z98:Z129" si="39">J98+Y98</f>
        <v>25.373231931090142</v>
      </c>
    </row>
    <row r="99" spans="1:26" ht="16" customHeight="1" x14ac:dyDescent="0.2">
      <c r="A99" s="15" t="s">
        <v>15</v>
      </c>
      <c r="B99" s="2">
        <v>18</v>
      </c>
      <c r="C99" s="2">
        <f t="shared" si="30"/>
        <v>79</v>
      </c>
      <c r="D99" s="2">
        <f t="shared" si="31"/>
        <v>0.58215199879782209</v>
      </c>
      <c r="E99" s="2">
        <f t="shared" si="32"/>
        <v>45.990007905027944</v>
      </c>
      <c r="F99" s="2">
        <f>IFERROR(INDEX('3_GrowthInputs'!$F$2:$F$201, MATCH(Q99, '3_GrowthInputs'!$G$2:$G$201, 0)), NA())</f>
        <v>546.56942414391165</v>
      </c>
      <c r="G99" s="2">
        <f t="shared" si="33"/>
        <v>25.136732137025067</v>
      </c>
      <c r="H99" s="2">
        <f t="shared" si="34"/>
        <v>0.26583215449994185</v>
      </c>
      <c r="I99" s="2">
        <f t="shared" si="35"/>
        <v>6.6821516610733012</v>
      </c>
      <c r="J99" s="2">
        <f t="shared" si="36"/>
        <v>31.818883798098369</v>
      </c>
      <c r="K99" s="23">
        <f t="shared" si="37"/>
        <v>54.834543078722852</v>
      </c>
      <c r="Q99" t="str">
        <f t="shared" si="38"/>
        <v>Mango|18</v>
      </c>
      <c r="Y99">
        <f>Y98*(1-AB2) + MAX(0,J98-J99)</f>
        <v>0</v>
      </c>
      <c r="Z99">
        <f t="shared" si="39"/>
        <v>31.818883798098369</v>
      </c>
    </row>
    <row r="100" spans="1:26" ht="16" customHeight="1" x14ac:dyDescent="0.2">
      <c r="A100" s="15" t="s">
        <v>15</v>
      </c>
      <c r="B100" s="2">
        <v>19</v>
      </c>
      <c r="C100" s="2">
        <f t="shared" si="30"/>
        <v>79</v>
      </c>
      <c r="D100" s="2">
        <f t="shared" si="31"/>
        <v>0.57633047880984378</v>
      </c>
      <c r="E100" s="2">
        <f t="shared" si="32"/>
        <v>45.530107825977659</v>
      </c>
      <c r="F100" s="2">
        <f>IFERROR(INDEX('3_GrowthInputs'!$F$2:$F$201, MATCH(Q100, '3_GrowthInputs'!$G$2:$G$201, 0)), NA())</f>
        <v>684.68670633308022</v>
      </c>
      <c r="G100" s="2">
        <f t="shared" si="33"/>
        <v>31.173859566358644</v>
      </c>
      <c r="H100" s="2">
        <f t="shared" si="34"/>
        <v>0.26160887209281514</v>
      </c>
      <c r="I100" s="2">
        <f t="shared" si="35"/>
        <v>8.1553582399349001</v>
      </c>
      <c r="J100" s="2">
        <f t="shared" si="36"/>
        <v>39.329217806293542</v>
      </c>
      <c r="K100" s="23">
        <f t="shared" si="37"/>
        <v>67.777352019512534</v>
      </c>
      <c r="Q100" t="str">
        <f t="shared" si="38"/>
        <v>Mango|19</v>
      </c>
      <c r="Y100">
        <f>Y99*(1-AB2) + MAX(0,J99-J100)</f>
        <v>0</v>
      </c>
      <c r="Z100">
        <f t="shared" si="39"/>
        <v>39.329217806293542</v>
      </c>
    </row>
    <row r="101" spans="1:26" ht="16" customHeight="1" x14ac:dyDescent="0.2">
      <c r="A101" s="15" t="s">
        <v>15</v>
      </c>
      <c r="B101" s="2">
        <v>20</v>
      </c>
      <c r="C101" s="2">
        <f t="shared" si="30"/>
        <v>79</v>
      </c>
      <c r="D101" s="2">
        <f t="shared" si="31"/>
        <v>0.57056717402174539</v>
      </c>
      <c r="E101" s="2">
        <f t="shared" si="32"/>
        <v>45.074806747717886</v>
      </c>
      <c r="F101" s="2">
        <f>IFERROR(INDEX('3_GrowthInputs'!$F$2:$F$201, MATCH(Q101, '3_GrowthInputs'!$G$2:$G$201, 0)), NA())</f>
        <v>844.89130953662857</v>
      </c>
      <c r="G101" s="2">
        <f t="shared" si="33"/>
        <v>38.083312500189827</v>
      </c>
      <c r="H101" s="2">
        <f t="shared" si="34"/>
        <v>0.25774118696848947</v>
      </c>
      <c r="I101" s="2">
        <f t="shared" si="35"/>
        <v>9.8156381674908388</v>
      </c>
      <c r="J101" s="2">
        <f t="shared" si="36"/>
        <v>47.898950667680666</v>
      </c>
      <c r="K101" s="23">
        <f t="shared" si="37"/>
        <v>82.545858317303001</v>
      </c>
      <c r="Q101" t="str">
        <f t="shared" si="38"/>
        <v>Mango|20</v>
      </c>
      <c r="Y101">
        <f>Y100*(1-AB2) + MAX(0,J100-J101)</f>
        <v>0</v>
      </c>
      <c r="Z101">
        <f t="shared" si="39"/>
        <v>47.898950667680666</v>
      </c>
    </row>
    <row r="102" spans="1:26" ht="16" customHeight="1" x14ac:dyDescent="0.2">
      <c r="A102" s="15" t="s">
        <v>15</v>
      </c>
      <c r="B102" s="2">
        <v>21</v>
      </c>
      <c r="C102" s="2">
        <f t="shared" si="30"/>
        <v>79</v>
      </c>
      <c r="D102" s="2">
        <f t="shared" si="31"/>
        <v>0.56200866641141922</v>
      </c>
      <c r="E102" s="2">
        <f t="shared" si="32"/>
        <v>44.398684646502119</v>
      </c>
      <c r="F102" s="2">
        <f>IFERROR(INDEX('3_GrowthInputs'!$F$2:$F$201, MATCH(Q102, '3_GrowthInputs'!$G$2:$G$201, 0)), NA())</f>
        <v>1026.8178739726025</v>
      </c>
      <c r="G102" s="2">
        <f t="shared" si="33"/>
        <v>45.589362975901338</v>
      </c>
      <c r="H102" s="2">
        <f t="shared" si="34"/>
        <v>0.25431445218150422</v>
      </c>
      <c r="I102" s="2">
        <f t="shared" si="35"/>
        <v>11.5940338705201</v>
      </c>
      <c r="J102" s="2">
        <f t="shared" si="36"/>
        <v>57.183396846421438</v>
      </c>
      <c r="K102" s="23">
        <f t="shared" si="37"/>
        <v>98.546053898666258</v>
      </c>
      <c r="Q102" t="str">
        <f t="shared" si="38"/>
        <v>Mango|21</v>
      </c>
      <c r="Y102">
        <f>Y101*(1-AB2) + MAX(0,J101-J102)</f>
        <v>0</v>
      </c>
      <c r="Z102">
        <f t="shared" si="39"/>
        <v>57.183396846421438</v>
      </c>
    </row>
    <row r="103" spans="1:26" ht="16" customHeight="1" x14ac:dyDescent="0.2">
      <c r="A103" s="15" t="s">
        <v>15</v>
      </c>
      <c r="B103" s="2">
        <v>22</v>
      </c>
      <c r="C103" s="2">
        <f t="shared" si="30"/>
        <v>79</v>
      </c>
      <c r="D103" s="2">
        <f t="shared" si="31"/>
        <v>0.5535785364152479</v>
      </c>
      <c r="E103" s="2">
        <f t="shared" si="32"/>
        <v>43.732704376804584</v>
      </c>
      <c r="F103" s="2">
        <f>IFERROR(INDEX('3_GrowthInputs'!$F$2:$F$201, MATCH(Q103, '3_GrowthInputs'!$G$2:$G$201, 0)), NA())</f>
        <v>1229.0423946583369</v>
      </c>
      <c r="G103" s="2">
        <f t="shared" si="33"/>
        <v>53.749347712153039</v>
      </c>
      <c r="H103" s="2">
        <f t="shared" si="34"/>
        <v>0.25121798115165345</v>
      </c>
      <c r="I103" s="2">
        <f t="shared" si="35"/>
        <v>13.50280262046533</v>
      </c>
      <c r="J103" s="2">
        <f t="shared" si="36"/>
        <v>67.25215033261837</v>
      </c>
      <c r="K103" s="23">
        <f t="shared" si="37"/>
        <v>115.89787240654564</v>
      </c>
      <c r="Q103" t="str">
        <f t="shared" si="38"/>
        <v>Mango|22</v>
      </c>
      <c r="Y103">
        <f>Y102*(1-AB2) + MAX(0,J102-J103)</f>
        <v>0</v>
      </c>
      <c r="Z103">
        <f t="shared" si="39"/>
        <v>67.25215033261837</v>
      </c>
    </row>
    <row r="104" spans="1:26" ht="16" customHeight="1" x14ac:dyDescent="0.2">
      <c r="A104" s="15" t="s">
        <v>15</v>
      </c>
      <c r="B104" s="2">
        <v>23</v>
      </c>
      <c r="C104" s="2">
        <f t="shared" si="30"/>
        <v>79</v>
      </c>
      <c r="D104" s="2">
        <f t="shared" si="31"/>
        <v>0.54527485836901923</v>
      </c>
      <c r="E104" s="2">
        <f t="shared" si="32"/>
        <v>43.076713811152523</v>
      </c>
      <c r="F104" s="2">
        <f>IFERROR(INDEX('3_GrowthInputs'!$F$2:$F$201, MATCH(Q104, '3_GrowthInputs'!$G$2:$G$201, 0)), NA())</f>
        <v>1449.1806294442335</v>
      </c>
      <c r="G104" s="2">
        <f t="shared" si="33"/>
        <v>62.42593923523512</v>
      </c>
      <c r="H104" s="2">
        <f t="shared" si="34"/>
        <v>0.24843645570069234</v>
      </c>
      <c r="I104" s="2">
        <f t="shared" si="35"/>
        <v>15.508879087388602</v>
      </c>
      <c r="J104" s="2">
        <f t="shared" si="36"/>
        <v>77.934818322623727</v>
      </c>
      <c r="K104" s="23">
        <f t="shared" si="37"/>
        <v>134.30767024265486</v>
      </c>
      <c r="Q104" t="str">
        <f t="shared" si="38"/>
        <v>Mango|23</v>
      </c>
      <c r="Y104">
        <f>Y103*(1-AB2) + MAX(0,J103-J104)</f>
        <v>0</v>
      </c>
      <c r="Z104">
        <f t="shared" si="39"/>
        <v>77.934818322623727</v>
      </c>
    </row>
    <row r="105" spans="1:26" ht="16" customHeight="1" x14ac:dyDescent="0.2">
      <c r="A105" s="15" t="s">
        <v>15</v>
      </c>
      <c r="B105" s="2">
        <v>24</v>
      </c>
      <c r="C105" s="2">
        <f t="shared" si="30"/>
        <v>79</v>
      </c>
      <c r="D105" s="2">
        <f t="shared" si="31"/>
        <v>0.53709573549348388</v>
      </c>
      <c r="E105" s="2">
        <f t="shared" si="32"/>
        <v>42.430563103985229</v>
      </c>
      <c r="F105" s="2">
        <f>IFERROR(INDEX('3_GrowthInputs'!$F$2:$F$201, MATCH(Q105, '3_GrowthInputs'!$G$2:$G$201, 0)), NA())</f>
        <v>1683.9064100591331</v>
      </c>
      <c r="G105" s="2">
        <f t="shared" si="33"/>
        <v>71.449097193219274</v>
      </c>
      <c r="H105" s="2">
        <f t="shared" si="34"/>
        <v>0.24595356918900987</v>
      </c>
      <c r="I105" s="2">
        <f t="shared" si="35"/>
        <v>17.573160470004748</v>
      </c>
      <c r="J105" s="2">
        <f t="shared" si="36"/>
        <v>89.022257663224025</v>
      </c>
      <c r="K105" s="23">
        <f t="shared" si="37"/>
        <v>153.41502403962272</v>
      </c>
      <c r="Q105" t="str">
        <f t="shared" si="38"/>
        <v>Mango|24</v>
      </c>
      <c r="Y105">
        <f>Y104*(1-AB2) + MAX(0,J104-J105)</f>
        <v>0</v>
      </c>
      <c r="Z105">
        <f t="shared" si="39"/>
        <v>89.022257663224025</v>
      </c>
    </row>
    <row r="106" spans="1:26" ht="16" customHeight="1" x14ac:dyDescent="0.2">
      <c r="A106" s="15" t="s">
        <v>15</v>
      </c>
      <c r="B106" s="2">
        <v>25</v>
      </c>
      <c r="C106" s="2">
        <f t="shared" si="30"/>
        <v>79</v>
      </c>
      <c r="D106" s="2">
        <f t="shared" si="31"/>
        <v>0.52903929946108164</v>
      </c>
      <c r="E106" s="2">
        <f t="shared" si="32"/>
        <v>41.79410465742545</v>
      </c>
      <c r="F106" s="2">
        <f>IFERROR(INDEX('3_GrowthInputs'!$F$2:$F$201, MATCH(Q106, '3_GrowthInputs'!$G$2:$G$201, 0)), NA())</f>
        <v>1929.1056677732915</v>
      </c>
      <c r="G106" s="2">
        <f t="shared" si="33"/>
        <v>80.625244174149557</v>
      </c>
      <c r="H106" s="2">
        <f t="shared" si="34"/>
        <v>0.243752479172959</v>
      </c>
      <c r="I106" s="2">
        <f t="shared" si="35"/>
        <v>19.652603151374123</v>
      </c>
      <c r="J106" s="2">
        <f t="shared" si="36"/>
        <v>100.27784732552368</v>
      </c>
      <c r="K106" s="23">
        <f t="shared" si="37"/>
        <v>172.81215689098579</v>
      </c>
      <c r="Q106" t="str">
        <f t="shared" si="38"/>
        <v>Mango|25</v>
      </c>
      <c r="Y106">
        <f>Y105*(1-AB2) + MAX(0,J105-J106)</f>
        <v>0</v>
      </c>
      <c r="Z106">
        <f t="shared" si="39"/>
        <v>100.27784732552368</v>
      </c>
    </row>
    <row r="107" spans="1:26" ht="16" customHeight="1" x14ac:dyDescent="0.2">
      <c r="A107" s="15" t="s">
        <v>15</v>
      </c>
      <c r="B107" s="2">
        <v>26</v>
      </c>
      <c r="C107" s="2">
        <f t="shared" si="30"/>
        <v>79</v>
      </c>
      <c r="D107" s="2">
        <f t="shared" si="31"/>
        <v>0.52110370996916544</v>
      </c>
      <c r="E107" s="2">
        <f t="shared" si="32"/>
        <v>41.167193087564073</v>
      </c>
      <c r="F107" s="2">
        <f>IFERROR(INDEX('3_GrowthInputs'!$F$2:$F$201, MATCH(Q107, '3_GrowthInputs'!$G$2:$G$201, 0)), NA())</f>
        <v>2180.4055842161506</v>
      </c>
      <c r="G107" s="2">
        <f t="shared" si="33"/>
        <v>89.761177694629225</v>
      </c>
      <c r="H107" s="2">
        <f t="shared" si="34"/>
        <v>0.24181358716624632</v>
      </c>
      <c r="I107" s="2">
        <f t="shared" si="35"/>
        <v>21.70547236660515</v>
      </c>
      <c r="J107" s="2">
        <f t="shared" si="36"/>
        <v>111.46665006123438</v>
      </c>
      <c r="K107" s="23">
        <f t="shared" si="37"/>
        <v>192.09419360552724</v>
      </c>
      <c r="Q107" t="str">
        <f t="shared" si="38"/>
        <v>Mango|26</v>
      </c>
      <c r="Y107">
        <f>Y106*(1-AB2) + MAX(0,J106-J107)</f>
        <v>0</v>
      </c>
      <c r="Z107">
        <f t="shared" si="39"/>
        <v>111.46665006123438</v>
      </c>
    </row>
    <row r="108" spans="1:26" ht="16" customHeight="1" x14ac:dyDescent="0.2">
      <c r="A108" s="15" t="s">
        <v>15</v>
      </c>
      <c r="B108" s="2">
        <v>27</v>
      </c>
      <c r="C108" s="2">
        <f t="shared" si="30"/>
        <v>79</v>
      </c>
      <c r="D108" s="2">
        <f t="shared" si="31"/>
        <v>0.5132871543196279</v>
      </c>
      <c r="E108" s="2">
        <f t="shared" si="32"/>
        <v>40.549685191250603</v>
      </c>
      <c r="F108" s="2">
        <f>IFERROR(INDEX('3_GrowthInputs'!$F$2:$F$201, MATCH(Q108, '3_GrowthInputs'!$G$2:$G$201, 0)), NA())</f>
        <v>2433.2724663907438</v>
      </c>
      <c r="G108" s="2">
        <f t="shared" si="33"/>
        <v>98.668432496682584</v>
      </c>
      <c r="H108" s="2">
        <f t="shared" si="34"/>
        <v>0.24011739710234037</v>
      </c>
      <c r="I108" s="2">
        <f t="shared" si="35"/>
        <v>23.692007187271397</v>
      </c>
      <c r="J108" s="2">
        <f t="shared" si="36"/>
        <v>122.36043968395398</v>
      </c>
      <c r="K108" s="23">
        <f t="shared" si="37"/>
        <v>210.86782438868067</v>
      </c>
      <c r="Q108" t="str">
        <f t="shared" si="38"/>
        <v>Mango|27</v>
      </c>
      <c r="Y108">
        <f>Y107*(1-AB2) + MAX(0,J107-J108)</f>
        <v>0</v>
      </c>
      <c r="Z108">
        <f t="shared" si="39"/>
        <v>122.36043968395398</v>
      </c>
    </row>
    <row r="109" spans="1:26" ht="16" customHeight="1" x14ac:dyDescent="0.2">
      <c r="A109" s="15" t="s">
        <v>15</v>
      </c>
      <c r="B109" s="2">
        <v>28</v>
      </c>
      <c r="C109" s="2">
        <f t="shared" si="30"/>
        <v>79</v>
      </c>
      <c r="D109" s="2">
        <f t="shared" si="31"/>
        <v>0.5055878470048335</v>
      </c>
      <c r="E109" s="2">
        <f t="shared" si="32"/>
        <v>39.941439913381849</v>
      </c>
      <c r="F109" s="2">
        <f>IFERROR(INDEX('3_GrowthInputs'!$F$2:$F$201, MATCH(Q109, '3_GrowthInputs'!$G$2:$G$201, 0)), NA())</f>
        <v>2683.4763714729393</v>
      </c>
      <c r="G109" s="2">
        <f t="shared" si="33"/>
        <v>107.18191025016635</v>
      </c>
      <c r="H109" s="2">
        <f t="shared" si="34"/>
        <v>0.23864341108794954</v>
      </c>
      <c r="I109" s="2">
        <f t="shared" si="35"/>
        <v>25.57825666902216</v>
      </c>
      <c r="J109" s="2">
        <f t="shared" si="36"/>
        <v>132.76016691918852</v>
      </c>
      <c r="K109" s="23">
        <f t="shared" si="37"/>
        <v>228.79002099073486</v>
      </c>
      <c r="Q109" t="str">
        <f t="shared" si="38"/>
        <v>Mango|28</v>
      </c>
      <c r="Y109">
        <f>Y108*(1-AB2) + MAX(0,J108-J109)</f>
        <v>0</v>
      </c>
      <c r="Z109">
        <f t="shared" si="39"/>
        <v>132.76016691918852</v>
      </c>
    </row>
    <row r="110" spans="1:26" ht="16" customHeight="1" x14ac:dyDescent="0.2">
      <c r="A110" s="15" t="s">
        <v>15</v>
      </c>
      <c r="B110" s="2">
        <v>29</v>
      </c>
      <c r="C110" s="2">
        <f t="shared" si="30"/>
        <v>79</v>
      </c>
      <c r="D110" s="2">
        <f t="shared" si="31"/>
        <v>0.49800402929976101</v>
      </c>
      <c r="E110" s="2">
        <f t="shared" si="32"/>
        <v>39.342318314681123</v>
      </c>
      <c r="F110" s="2">
        <f>IFERROR(INDEX('3_GrowthInputs'!$F$2:$F$201, MATCH(Q110, '3_GrowthInputs'!$G$2:$G$201, 0)), NA())</f>
        <v>2926.9248308698093</v>
      </c>
      <c r="G110" s="2">
        <f t="shared" si="33"/>
        <v>115.15200837922426</v>
      </c>
      <c r="H110" s="2">
        <f t="shared" si="34"/>
        <v>0.23737331028181949</v>
      </c>
      <c r="I110" s="2">
        <f t="shared" si="35"/>
        <v>27.334013414576276</v>
      </c>
      <c r="J110" s="2">
        <f t="shared" si="36"/>
        <v>142.48602179380055</v>
      </c>
      <c r="K110" s="23">
        <f t="shared" si="37"/>
        <v>245.55091089131622</v>
      </c>
      <c r="Q110" t="str">
        <f t="shared" si="38"/>
        <v>Mango|29</v>
      </c>
      <c r="Y110">
        <f>Y109*(1-AB2) + MAX(0,J109-J110)</f>
        <v>0</v>
      </c>
      <c r="Z110">
        <f t="shared" si="39"/>
        <v>142.48602179380055</v>
      </c>
    </row>
    <row r="111" spans="1:26" ht="16" customHeight="1" x14ac:dyDescent="0.2">
      <c r="A111" s="15" t="s">
        <v>15</v>
      </c>
      <c r="B111" s="2">
        <v>30</v>
      </c>
      <c r="C111" s="2">
        <f t="shared" si="30"/>
        <v>79</v>
      </c>
      <c r="D111" s="2">
        <f t="shared" si="31"/>
        <v>0.49053396886026462</v>
      </c>
      <c r="E111" s="2">
        <f t="shared" si="32"/>
        <v>38.752183539960903</v>
      </c>
      <c r="F111" s="2">
        <f>IFERROR(INDEX('3_GrowthInputs'!$F$2:$F$201, MATCH(Q111, '3_GrowthInputs'!$G$2:$G$201, 0)), NA())</f>
        <v>3160.5493415859814</v>
      </c>
      <c r="G111" s="2">
        <f t="shared" si="33"/>
        <v>122.47818817224254</v>
      </c>
      <c r="H111" s="2">
        <f t="shared" si="34"/>
        <v>0.23628650356384967</v>
      </c>
      <c r="I111" s="2">
        <f t="shared" si="35"/>
        <v>28.939942846054436</v>
      </c>
      <c r="J111" s="2">
        <f t="shared" si="36"/>
        <v>151.41813101829698</v>
      </c>
      <c r="K111" s="23">
        <f t="shared" si="37"/>
        <v>260.94391245486509</v>
      </c>
      <c r="Q111" t="str">
        <f t="shared" si="38"/>
        <v>Mango|30</v>
      </c>
      <c r="Y111">
        <f>Y110*(1-AB2) + MAX(0,J110-J111)</f>
        <v>0</v>
      </c>
      <c r="Z111">
        <f t="shared" si="39"/>
        <v>151.41813101829698</v>
      </c>
    </row>
    <row r="112" spans="1:26" ht="16" customHeight="1" x14ac:dyDescent="0.2">
      <c r="A112" s="15" t="s">
        <v>15</v>
      </c>
      <c r="B112" s="2">
        <v>31</v>
      </c>
      <c r="C112" s="2">
        <f t="shared" si="30"/>
        <v>79</v>
      </c>
      <c r="D112" s="2">
        <f t="shared" si="31"/>
        <v>0.48317595932736068</v>
      </c>
      <c r="E112" s="2">
        <f t="shared" si="32"/>
        <v>38.170900786861495</v>
      </c>
      <c r="F112" s="2">
        <f>IFERROR(INDEX('3_GrowthInputs'!$F$2:$F$201, MATCH(Q112, '3_GrowthInputs'!$G$2:$G$201, 0)), NA())</f>
        <v>3381.5859257172915</v>
      </c>
      <c r="G112" s="2">
        <f t="shared" si="33"/>
        <v>129.07818087280194</v>
      </c>
      <c r="H112" s="2">
        <f t="shared" si="34"/>
        <v>0.23536562576874692</v>
      </c>
      <c r="I112" s="2">
        <f t="shared" si="35"/>
        <v>30.380566814218529</v>
      </c>
      <c r="J112" s="2">
        <f t="shared" si="36"/>
        <v>159.45874768702046</v>
      </c>
      <c r="K112" s="23">
        <f t="shared" si="37"/>
        <v>274.80057518063188</v>
      </c>
      <c r="Q112" t="str">
        <f t="shared" si="38"/>
        <v>Mango|31</v>
      </c>
      <c r="Y112">
        <f>Y111*(1-AB2) + MAX(0,J111-J112)</f>
        <v>0</v>
      </c>
      <c r="Z112">
        <f t="shared" si="39"/>
        <v>159.45874768702046</v>
      </c>
    </row>
    <row r="113" spans="1:26" ht="16" customHeight="1" x14ac:dyDescent="0.2">
      <c r="A113" s="15" t="s">
        <v>15</v>
      </c>
      <c r="B113" s="2">
        <v>32</v>
      </c>
      <c r="C113" s="2">
        <f t="shared" si="30"/>
        <v>79</v>
      </c>
      <c r="D113" s="2">
        <f t="shared" si="31"/>
        <v>0.47592831993745027</v>
      </c>
      <c r="E113" s="2">
        <f t="shared" si="32"/>
        <v>37.598337275058569</v>
      </c>
      <c r="F113" s="2">
        <f>IFERROR(INDEX('3_GrowthInputs'!$F$2:$F$201, MATCH(Q113, '3_GrowthInputs'!$G$2:$G$201, 0)), NA())</f>
        <v>3588.2789666348785</v>
      </c>
      <c r="G113" s="2">
        <f t="shared" si="33"/>
        <v>134.91332282453681</v>
      </c>
      <c r="H113" s="2">
        <f t="shared" si="34"/>
        <v>0.23459265322731299</v>
      </c>
      <c r="I113" s="2">
        <f t="shared" si="35"/>
        <v>31.649674357121093</v>
      </c>
      <c r="J113" s="2">
        <f t="shared" si="36"/>
        <v>166.56299718165789</v>
      </c>
      <c r="K113" s="23">
        <f t="shared" si="37"/>
        <v>287.04356514305709</v>
      </c>
      <c r="Q113" t="str">
        <f t="shared" si="38"/>
        <v>Mango|32</v>
      </c>
      <c r="Y113">
        <f>Y112*(1-AB2) + MAX(0,J112-J113)</f>
        <v>0</v>
      </c>
      <c r="Z113">
        <f t="shared" si="39"/>
        <v>166.56299718165789</v>
      </c>
    </row>
    <row r="114" spans="1:26" ht="16" customHeight="1" x14ac:dyDescent="0.2">
      <c r="A114" s="15" t="s">
        <v>15</v>
      </c>
      <c r="B114" s="2">
        <v>33</v>
      </c>
      <c r="C114" s="2">
        <f t="shared" si="30"/>
        <v>79</v>
      </c>
      <c r="D114" s="2">
        <f t="shared" si="31"/>
        <v>0.46878939513838846</v>
      </c>
      <c r="E114" s="2">
        <f t="shared" si="32"/>
        <v>37.034362215932688</v>
      </c>
      <c r="F114" s="2">
        <f>IFERROR(INDEX('3_GrowthInputs'!$F$2:$F$201, MATCH(Q114, '3_GrowthInputs'!$G$2:$G$201, 0)), NA())</f>
        <v>3779.3458309503148</v>
      </c>
      <c r="G114" s="2">
        <f t="shared" si="33"/>
        <v>139.96566244268905</v>
      </c>
      <c r="H114" s="2">
        <f t="shared" si="34"/>
        <v>0.2339518518677971</v>
      </c>
      <c r="I114" s="2">
        <f t="shared" si="35"/>
        <v>32.745225926370082</v>
      </c>
      <c r="J114" s="2">
        <f t="shared" si="36"/>
        <v>172.71088836905915</v>
      </c>
      <c r="K114" s="23">
        <f t="shared" si="37"/>
        <v>297.63843095601186</v>
      </c>
      <c r="Q114" t="str">
        <f t="shared" si="38"/>
        <v>Mango|33</v>
      </c>
      <c r="Y114">
        <f>Y113*(1-AB2) + MAX(0,J113-J114)</f>
        <v>0</v>
      </c>
      <c r="Z114">
        <f t="shared" si="39"/>
        <v>172.71088836905915</v>
      </c>
    </row>
    <row r="115" spans="1:26" ht="16" customHeight="1" x14ac:dyDescent="0.2">
      <c r="A115" s="15" t="s">
        <v>15</v>
      </c>
      <c r="B115" s="2">
        <v>34</v>
      </c>
      <c r="C115" s="2">
        <f t="shared" si="30"/>
        <v>79</v>
      </c>
      <c r="D115" s="2">
        <f t="shared" si="31"/>
        <v>0.4617575542113127</v>
      </c>
      <c r="E115" s="2">
        <f t="shared" si="32"/>
        <v>36.478846782693701</v>
      </c>
      <c r="F115" s="2">
        <f>IFERROR(INDEX('3_GrowthInputs'!$F$2:$F$201, MATCH(Q115, '3_GrowthInputs'!$G$2:$G$201, 0)), NA())</f>
        <v>3954.3986189492948</v>
      </c>
      <c r="G115" s="2">
        <f t="shared" si="33"/>
        <v>144.2519013383469</v>
      </c>
      <c r="H115" s="2">
        <f t="shared" si="34"/>
        <v>0.23342740611110815</v>
      </c>
      <c r="I115" s="2">
        <f t="shared" si="35"/>
        <v>33.672347156005806</v>
      </c>
      <c r="J115" s="2">
        <f t="shared" si="36"/>
        <v>177.9242484943527</v>
      </c>
      <c r="K115" s="23">
        <f t="shared" si="37"/>
        <v>306.62278823860112</v>
      </c>
      <c r="Q115" t="str">
        <f t="shared" si="38"/>
        <v>Mango|34</v>
      </c>
      <c r="Y115">
        <f>Y114*(1-AB2) + MAX(0,J114-J115)</f>
        <v>0</v>
      </c>
      <c r="Z115">
        <f t="shared" si="39"/>
        <v>177.9242484943527</v>
      </c>
    </row>
    <row r="116" spans="1:26" ht="16" customHeight="1" x14ac:dyDescent="0.2">
      <c r="A116" s="15" t="s">
        <v>15</v>
      </c>
      <c r="B116" s="2">
        <v>35</v>
      </c>
      <c r="C116" s="2">
        <f t="shared" si="30"/>
        <v>79</v>
      </c>
      <c r="D116" s="2">
        <f t="shared" si="31"/>
        <v>0.45483119089814295</v>
      </c>
      <c r="E116" s="2">
        <f t="shared" si="32"/>
        <v>35.93166408095329</v>
      </c>
      <c r="F116" s="2">
        <f>IFERROR(INDEX('3_GrowthInputs'!$F$2:$F$201, MATCH(Q116, '3_GrowthInputs'!$G$2:$G$201, 0)), NA())</f>
        <v>4113.2772235648144</v>
      </c>
      <c r="G116" s="2">
        <f t="shared" si="33"/>
        <v>147.79689546896714</v>
      </c>
      <c r="H116" s="2">
        <f t="shared" si="34"/>
        <v>0.23300615211242029</v>
      </c>
      <c r="I116" s="2">
        <f t="shared" si="35"/>
        <v>34.437585907385639</v>
      </c>
      <c r="J116" s="2">
        <f t="shared" si="36"/>
        <v>182.23448137635279</v>
      </c>
      <c r="K116" s="23">
        <f t="shared" si="37"/>
        <v>314.05075623858124</v>
      </c>
      <c r="Q116" t="str">
        <f t="shared" si="38"/>
        <v>Mango|35</v>
      </c>
      <c r="Y116">
        <f>Y115*(1-AB2) + MAX(0,J115-J116)</f>
        <v>0</v>
      </c>
      <c r="Z116">
        <f t="shared" si="39"/>
        <v>182.23448137635279</v>
      </c>
    </row>
    <row r="117" spans="1:26" ht="16" customHeight="1" x14ac:dyDescent="0.2">
      <c r="A117" s="15" t="s">
        <v>15</v>
      </c>
      <c r="B117" s="2">
        <v>36</v>
      </c>
      <c r="C117" s="2">
        <f t="shared" si="30"/>
        <v>79</v>
      </c>
      <c r="D117" s="2">
        <f t="shared" si="31"/>
        <v>0.44800872303467082</v>
      </c>
      <c r="E117" s="2">
        <f t="shared" si="32"/>
        <v>35.392689119738996</v>
      </c>
      <c r="F117" s="2">
        <f>IFERROR(INDEX('3_GrowthInputs'!$F$2:$F$201, MATCH(Q117, '3_GrowthInputs'!$G$2:$G$201, 0)), NA())</f>
        <v>4256.2859646947682</v>
      </c>
      <c r="G117" s="2">
        <f t="shared" si="33"/>
        <v>150.64140595315033</v>
      </c>
      <c r="H117" s="2">
        <f t="shared" si="34"/>
        <v>0.2326759130017419</v>
      </c>
      <c r="I117" s="2">
        <f t="shared" si="35"/>
        <v>35.05062666601529</v>
      </c>
      <c r="J117" s="2">
        <f t="shared" si="36"/>
        <v>185.69203261916562</v>
      </c>
      <c r="K117" s="23">
        <f t="shared" si="37"/>
        <v>320.00926954702874</v>
      </c>
      <c r="Q117" t="str">
        <f t="shared" si="38"/>
        <v>Mango|36</v>
      </c>
      <c r="Y117">
        <f>Y116*(1-AB2) + MAX(0,J116-J117)</f>
        <v>0</v>
      </c>
      <c r="Z117">
        <f t="shared" si="39"/>
        <v>185.69203261916562</v>
      </c>
    </row>
    <row r="118" spans="1:26" ht="16" customHeight="1" x14ac:dyDescent="0.2">
      <c r="A118" s="15" t="s">
        <v>15</v>
      </c>
      <c r="B118" s="2">
        <v>37</v>
      </c>
      <c r="C118" s="2">
        <f t="shared" si="30"/>
        <v>79</v>
      </c>
      <c r="D118" s="2">
        <f t="shared" si="31"/>
        <v>0.44128859218915073</v>
      </c>
      <c r="E118" s="2">
        <f t="shared" si="32"/>
        <v>34.861798782942905</v>
      </c>
      <c r="F118" s="2">
        <f>IFERROR(INDEX('3_GrowthInputs'!$F$2:$F$201, MATCH(Q118, '3_GrowthInputs'!$G$2:$G$201, 0)), NA())</f>
        <v>4384.3190963872512</v>
      </c>
      <c r="G118" s="2">
        <f t="shared" si="33"/>
        <v>152.84525013846641</v>
      </c>
      <c r="H118" s="2">
        <f t="shared" si="34"/>
        <v>0.23242462679155784</v>
      </c>
      <c r="I118" s="2">
        <f t="shared" si="35"/>
        <v>35.525000220295361</v>
      </c>
      <c r="J118" s="2">
        <f t="shared" si="36"/>
        <v>188.37025035876178</v>
      </c>
      <c r="K118" s="23">
        <f t="shared" si="37"/>
        <v>324.62473145159947</v>
      </c>
      <c r="Q118" t="str">
        <f t="shared" si="38"/>
        <v>Mango|37</v>
      </c>
      <c r="Y118">
        <f>Y117*(1-AB2) + MAX(0,J117-J118)</f>
        <v>0</v>
      </c>
      <c r="Z118">
        <f t="shared" si="39"/>
        <v>188.37025035876178</v>
      </c>
    </row>
    <row r="119" spans="1:26" ht="16" customHeight="1" x14ac:dyDescent="0.2">
      <c r="A119" s="15" t="s">
        <v>15</v>
      </c>
      <c r="B119" s="2">
        <v>38</v>
      </c>
      <c r="C119" s="2">
        <f t="shared" si="30"/>
        <v>79</v>
      </c>
      <c r="D119" s="2">
        <f t="shared" si="31"/>
        <v>0.4346692633063135</v>
      </c>
      <c r="E119" s="2">
        <f t="shared" si="32"/>
        <v>34.338871801198763</v>
      </c>
      <c r="F119" s="2">
        <f>IFERROR(INDEX('3_GrowthInputs'!$F$2:$F$201, MATCH(Q119, '3_GrowthInputs'!$G$2:$G$201, 0)), NA())</f>
        <v>4498.094329130663</v>
      </c>
      <c r="G119" s="2">
        <f t="shared" si="33"/>
        <v>154.45948451771702</v>
      </c>
      <c r="H119" s="2">
        <f t="shared" si="34"/>
        <v>0.2322430264378629</v>
      </c>
      <c r="I119" s="2">
        <f t="shared" si="35"/>
        <v>35.872138146426828</v>
      </c>
      <c r="J119" s="2">
        <f t="shared" si="36"/>
        <v>190.33162266414385</v>
      </c>
      <c r="K119" s="23">
        <f t="shared" si="37"/>
        <v>328.0048297245412</v>
      </c>
      <c r="Q119" t="str">
        <f t="shared" si="38"/>
        <v>Mango|38</v>
      </c>
      <c r="Y119">
        <f>Y118*(1-AB2) + MAX(0,J118-J119)</f>
        <v>0</v>
      </c>
      <c r="Z119">
        <f t="shared" si="39"/>
        <v>190.33162266414385</v>
      </c>
    </row>
    <row r="120" spans="1:26" ht="16" customHeight="1" x14ac:dyDescent="0.2">
      <c r="A120" s="15" t="s">
        <v>15</v>
      </c>
      <c r="B120" s="2">
        <v>39</v>
      </c>
      <c r="C120" s="2">
        <f t="shared" si="30"/>
        <v>79</v>
      </c>
      <c r="D120" s="2">
        <f t="shared" si="31"/>
        <v>0.42814922435671882</v>
      </c>
      <c r="E120" s="2">
        <f t="shared" si="32"/>
        <v>33.823788724180787</v>
      </c>
      <c r="F120" s="2">
        <f>IFERROR(INDEX('3_GrowthInputs'!$F$2:$F$201, MATCH(Q120, '3_GrowthInputs'!$G$2:$G$201, 0)), NA())</f>
        <v>4598.842074180242</v>
      </c>
      <c r="G120" s="2">
        <f t="shared" si="33"/>
        <v>155.55026269294586</v>
      </c>
      <c r="H120" s="2">
        <f t="shared" si="34"/>
        <v>0.23212146528447741</v>
      </c>
      <c r="I120" s="2">
        <f t="shared" si="35"/>
        <v>36.106554901671977</v>
      </c>
      <c r="J120" s="2">
        <f t="shared" si="36"/>
        <v>191.65681759461785</v>
      </c>
      <c r="K120" s="23">
        <f t="shared" si="37"/>
        <v>330.2885823213914</v>
      </c>
      <c r="Q120" t="str">
        <f t="shared" si="38"/>
        <v>Mango|39</v>
      </c>
      <c r="Y120">
        <f>Y119*(1-AB2) + MAX(0,J119-J120)</f>
        <v>0</v>
      </c>
      <c r="Z120">
        <f t="shared" si="39"/>
        <v>191.65681759461785</v>
      </c>
    </row>
    <row r="121" spans="1:26" ht="16" customHeight="1" x14ac:dyDescent="0.2">
      <c r="A121" s="15" t="s">
        <v>15</v>
      </c>
      <c r="B121" s="2">
        <v>40</v>
      </c>
      <c r="C121" s="2">
        <f t="shared" si="30"/>
        <v>79</v>
      </c>
      <c r="D121" s="2">
        <f t="shared" si="31"/>
        <v>0.42172698599136804</v>
      </c>
      <c r="E121" s="2">
        <f t="shared" si="32"/>
        <v>33.316431893318075</v>
      </c>
      <c r="F121" s="2">
        <f>IFERROR(INDEX('3_GrowthInputs'!$F$2:$F$201, MATCH(Q121, '3_GrowthInputs'!$G$2:$G$201, 0)), NA())</f>
        <v>4687.5222330186652</v>
      </c>
      <c r="G121" s="2">
        <f t="shared" si="33"/>
        <v>156.17151522478062</v>
      </c>
      <c r="H121" s="2">
        <f t="shared" si="34"/>
        <v>0.23205263882296626</v>
      </c>
      <c r="I121" s="2">
        <f t="shared" si="35"/>
        <v>36.240012216891394</v>
      </c>
      <c r="J121" s="2">
        <f t="shared" si="36"/>
        <v>192.41152744167201</v>
      </c>
      <c r="K121" s="23">
        <f t="shared" si="37"/>
        <v>331.58919895781474</v>
      </c>
      <c r="Q121" t="str">
        <f t="shared" si="38"/>
        <v>Mango|40</v>
      </c>
      <c r="Y121">
        <f>Y120*(1-AB2) + MAX(0,J120-J121)</f>
        <v>0</v>
      </c>
      <c r="Z121">
        <f t="shared" si="39"/>
        <v>192.41152744167201</v>
      </c>
    </row>
    <row r="122" spans="1:26" ht="16" customHeight="1" x14ac:dyDescent="0.2">
      <c r="A122" s="15" t="s">
        <v>17</v>
      </c>
      <c r="B122" s="2">
        <v>1</v>
      </c>
      <c r="C122" s="2">
        <f t="shared" si="30"/>
        <v>79</v>
      </c>
      <c r="D122" s="2">
        <f t="shared" si="31"/>
        <v>0.7</v>
      </c>
      <c r="E122" s="2">
        <f t="shared" si="32"/>
        <v>55.3</v>
      </c>
      <c r="F122" s="2">
        <f>IFERROR(INDEX('3_GrowthInputs'!$F$2:$F$201, MATCH(Q122, '3_GrowthInputs'!$G$2:$G$201, 0)), NA())</f>
        <v>7.549877866120186E-2</v>
      </c>
      <c r="G122" s="2">
        <f t="shared" si="33"/>
        <v>4.1750824599644625E-3</v>
      </c>
      <c r="H122" s="2">
        <f t="shared" si="34"/>
        <v>0.50794069265910025</v>
      </c>
      <c r="I122" s="2">
        <f t="shared" si="35"/>
        <v>2.1206942766232094E-3</v>
      </c>
      <c r="J122" s="2">
        <f t="shared" si="36"/>
        <v>6.2957767365876723E-3</v>
      </c>
      <c r="K122" s="23">
        <f t="shared" si="37"/>
        <v>1.0849721909386087E-2</v>
      </c>
      <c r="Q122" t="str">
        <f t="shared" si="38"/>
        <v>Moringa|1</v>
      </c>
      <c r="Y122">
        <v>0</v>
      </c>
      <c r="Z122">
        <f t="shared" si="39"/>
        <v>6.2957767365876723E-3</v>
      </c>
    </row>
    <row r="123" spans="1:26" ht="16" customHeight="1" x14ac:dyDescent="0.2">
      <c r="A123" s="15" t="s">
        <v>17</v>
      </c>
      <c r="B123" s="2">
        <v>2</v>
      </c>
      <c r="C123" s="2">
        <f t="shared" si="30"/>
        <v>79</v>
      </c>
      <c r="D123" s="2">
        <f t="shared" si="31"/>
        <v>0.65799999999999992</v>
      </c>
      <c r="E123" s="2">
        <f t="shared" si="32"/>
        <v>51.981999999999992</v>
      </c>
      <c r="F123" s="2">
        <f>IFERROR(INDEX('3_GrowthInputs'!$F$2:$F$201, MATCH(Q123, '3_GrowthInputs'!$G$2:$G$201, 0)), NA())</f>
        <v>0.33920652987248745</v>
      </c>
      <c r="G123" s="2">
        <f t="shared" si="33"/>
        <v>1.7632633835831642E-2</v>
      </c>
      <c r="H123" s="2">
        <f t="shared" si="34"/>
        <v>0.45631473010640999</v>
      </c>
      <c r="I123" s="2">
        <f t="shared" si="35"/>
        <v>8.0460305498626684E-3</v>
      </c>
      <c r="J123" s="2">
        <f t="shared" si="36"/>
        <v>2.567866438569431E-2</v>
      </c>
      <c r="K123" s="23">
        <f t="shared" si="37"/>
        <v>4.4252898291346529E-2</v>
      </c>
      <c r="Q123" t="str">
        <f t="shared" si="38"/>
        <v>Moringa|2</v>
      </c>
      <c r="Y123">
        <f>Y122*(1-AB2) + MAX(0,J122-J123)</f>
        <v>0</v>
      </c>
      <c r="Z123">
        <f t="shared" si="39"/>
        <v>2.567866438569431E-2</v>
      </c>
    </row>
    <row r="124" spans="1:26" ht="16" customHeight="1" x14ac:dyDescent="0.2">
      <c r="A124" s="15" t="s">
        <v>17</v>
      </c>
      <c r="B124" s="2">
        <v>3</v>
      </c>
      <c r="C124" s="2">
        <f t="shared" si="30"/>
        <v>79</v>
      </c>
      <c r="D124" s="2">
        <f t="shared" si="31"/>
        <v>0.61851999999999996</v>
      </c>
      <c r="E124" s="2">
        <f t="shared" si="32"/>
        <v>48.863079999999997</v>
      </c>
      <c r="F124" s="2">
        <f>IFERROR(INDEX('3_GrowthInputs'!$F$2:$F$201, MATCH(Q124, '3_GrowthInputs'!$G$2:$G$201, 0)), NA())</f>
        <v>1.3503332317092422</v>
      </c>
      <c r="G124" s="2">
        <f t="shared" si="33"/>
        <v>6.5981440727667234E-2</v>
      </c>
      <c r="H124" s="2">
        <f t="shared" si="34"/>
        <v>0.41364283465092638</v>
      </c>
      <c r="I124" s="2">
        <f t="shared" si="35"/>
        <v>2.7292750176944356E-2</v>
      </c>
      <c r="J124" s="2">
        <f t="shared" si="36"/>
        <v>9.3274190904611587E-2</v>
      </c>
      <c r="K124" s="23">
        <f t="shared" si="37"/>
        <v>0.16074252232561395</v>
      </c>
      <c r="Q124" t="str">
        <f t="shared" si="38"/>
        <v>Moringa|3</v>
      </c>
      <c r="Y124">
        <f>Y123*(1-AB2) + MAX(0,J123-J124)</f>
        <v>0</v>
      </c>
      <c r="Z124">
        <f t="shared" si="39"/>
        <v>9.3274190904611587E-2</v>
      </c>
    </row>
    <row r="125" spans="1:26" ht="16" customHeight="1" x14ac:dyDescent="0.2">
      <c r="A125" s="15" t="s">
        <v>17</v>
      </c>
      <c r="B125" s="2">
        <v>4</v>
      </c>
      <c r="C125" s="2">
        <f t="shared" si="30"/>
        <v>79</v>
      </c>
      <c r="D125" s="2">
        <f t="shared" si="31"/>
        <v>0.60924219999999996</v>
      </c>
      <c r="E125" s="2">
        <f t="shared" si="32"/>
        <v>48.130133799999996</v>
      </c>
      <c r="F125" s="2">
        <f>IFERROR(INDEX('3_GrowthInputs'!$F$2:$F$201, MATCH(Q125, '3_GrowthInputs'!$G$2:$G$201, 0)), NA())</f>
        <v>4.6643875196594315</v>
      </c>
      <c r="G125" s="2">
        <f t="shared" si="33"/>
        <v>0.22449759541625855</v>
      </c>
      <c r="H125" s="2">
        <f t="shared" si="34"/>
        <v>0.37762465119097938</v>
      </c>
      <c r="I125" s="2">
        <f t="shared" si="35"/>
        <v>8.4775826162278245E-2</v>
      </c>
      <c r="J125" s="2">
        <f t="shared" si="36"/>
        <v>0.30927342157853677</v>
      </c>
      <c r="K125" s="23">
        <f t="shared" si="37"/>
        <v>0.53298119652034504</v>
      </c>
      <c r="Q125" t="str">
        <f t="shared" si="38"/>
        <v>Moringa|4</v>
      </c>
      <c r="Y125">
        <f>Y124*(1-AB2) + MAX(0,J124-J125)</f>
        <v>0</v>
      </c>
      <c r="Z125">
        <f t="shared" si="39"/>
        <v>0.30927342157853677</v>
      </c>
    </row>
    <row r="126" spans="1:26" ht="16" customHeight="1" x14ac:dyDescent="0.2">
      <c r="A126" s="15" t="s">
        <v>17</v>
      </c>
      <c r="B126" s="2">
        <v>5</v>
      </c>
      <c r="C126" s="2">
        <f t="shared" si="30"/>
        <v>79</v>
      </c>
      <c r="D126" s="2">
        <f t="shared" si="31"/>
        <v>0.600103567</v>
      </c>
      <c r="E126" s="2">
        <f t="shared" si="32"/>
        <v>47.408181792999997</v>
      </c>
      <c r="F126" s="2">
        <f>IFERROR(INDEX('3_GrowthInputs'!$F$2:$F$201, MATCH(Q126, '3_GrowthInputs'!$G$2:$G$201, 0)), NA())</f>
        <v>13.815599692909332</v>
      </c>
      <c r="G126" s="2">
        <f t="shared" si="33"/>
        <v>0.65497246182076063</v>
      </c>
      <c r="H126" s="2">
        <f t="shared" si="34"/>
        <v>0.34870927017049169</v>
      </c>
      <c r="I126" s="2">
        <f t="shared" si="35"/>
        <v>0.22839496914328766</v>
      </c>
      <c r="J126" s="2">
        <f t="shared" si="36"/>
        <v>0.88336743096404824</v>
      </c>
      <c r="K126" s="23">
        <f t="shared" si="37"/>
        <v>1.5223365393613764</v>
      </c>
      <c r="Q126" t="str">
        <f t="shared" si="38"/>
        <v>Moringa|5</v>
      </c>
      <c r="Y126">
        <f>Y125*(1-AB2) + MAX(0,J125-J126)</f>
        <v>0</v>
      </c>
      <c r="Z126">
        <f t="shared" si="39"/>
        <v>0.88336743096404824</v>
      </c>
    </row>
    <row r="127" spans="1:26" ht="16" customHeight="1" x14ac:dyDescent="0.2">
      <c r="A127" s="15" t="s">
        <v>17</v>
      </c>
      <c r="B127" s="2">
        <v>6</v>
      </c>
      <c r="C127" s="2">
        <f t="shared" si="30"/>
        <v>79</v>
      </c>
      <c r="D127" s="2">
        <f t="shared" si="31"/>
        <v>0.59110201349500002</v>
      </c>
      <c r="E127" s="2">
        <f t="shared" si="32"/>
        <v>46.697059066104998</v>
      </c>
      <c r="F127" s="2">
        <f>IFERROR(INDEX('3_GrowthInputs'!$F$2:$F$201, MATCH(Q127, '3_GrowthInputs'!$G$2:$G$201, 0)), NA())</f>
        <v>34.784447168350596</v>
      </c>
      <c r="G127" s="2">
        <f t="shared" si="33"/>
        <v>1.6243313840022766</v>
      </c>
      <c r="H127" s="2">
        <f t="shared" si="34"/>
        <v>0.32592396439613402</v>
      </c>
      <c r="I127" s="2">
        <f t="shared" si="35"/>
        <v>0.52940852416708106</v>
      </c>
      <c r="J127" s="2">
        <f t="shared" si="36"/>
        <v>2.1537399081693578</v>
      </c>
      <c r="K127" s="23">
        <f t="shared" si="37"/>
        <v>3.7116117750785262</v>
      </c>
      <c r="Q127" t="str">
        <f t="shared" si="38"/>
        <v>Moringa|6</v>
      </c>
      <c r="Y127">
        <f>Y126*(1-AB2) + MAX(0,J126-J127)</f>
        <v>0</v>
      </c>
      <c r="Z127">
        <f t="shared" si="39"/>
        <v>2.1537399081693578</v>
      </c>
    </row>
    <row r="128" spans="1:26" ht="16" customHeight="1" x14ac:dyDescent="0.2">
      <c r="A128" s="15" t="s">
        <v>17</v>
      </c>
      <c r="B128" s="2">
        <v>7</v>
      </c>
      <c r="C128" s="2">
        <f t="shared" si="30"/>
        <v>79</v>
      </c>
      <c r="D128" s="2">
        <f t="shared" si="31"/>
        <v>0.58223548329257491</v>
      </c>
      <c r="E128" s="2">
        <f t="shared" si="32"/>
        <v>45.996603180113418</v>
      </c>
      <c r="F128" s="2">
        <f>IFERROR(INDEX('3_GrowthInputs'!$F$2:$F$201, MATCH(Q128, '3_GrowthInputs'!$G$2:$G$201, 0)), NA())</f>
        <v>73.691823117913003</v>
      </c>
      <c r="G128" s="2">
        <f t="shared" si="33"/>
        <v>3.3895735455737528</v>
      </c>
      <c r="H128" s="2">
        <f t="shared" si="34"/>
        <v>0.30856573275033605</v>
      </c>
      <c r="I128" s="2">
        <f t="shared" si="35"/>
        <v>1.0459062448011196</v>
      </c>
      <c r="J128" s="2">
        <f t="shared" si="36"/>
        <v>4.4354797903748722</v>
      </c>
      <c r="K128" s="23">
        <f t="shared" si="37"/>
        <v>7.6438101720793616</v>
      </c>
      <c r="Q128" t="str">
        <f t="shared" si="38"/>
        <v>Moringa|7</v>
      </c>
      <c r="Y128">
        <f>Y127*(1-AB2) + MAX(0,J127-J128)</f>
        <v>0</v>
      </c>
      <c r="Z128">
        <f t="shared" si="39"/>
        <v>4.4354797903748722</v>
      </c>
    </row>
    <row r="129" spans="1:26" ht="16" customHeight="1" x14ac:dyDescent="0.2">
      <c r="A129" s="15" t="s">
        <v>17</v>
      </c>
      <c r="B129" s="2">
        <v>8</v>
      </c>
      <c r="C129" s="2">
        <f t="shared" si="30"/>
        <v>79</v>
      </c>
      <c r="D129" s="2">
        <f t="shared" si="31"/>
        <v>0.57350195104318635</v>
      </c>
      <c r="E129" s="2">
        <f t="shared" si="32"/>
        <v>45.306654132411722</v>
      </c>
      <c r="F129" s="2">
        <f>IFERROR(INDEX('3_GrowthInputs'!$F$2:$F$201, MATCH(Q129, '3_GrowthInputs'!$G$2:$G$201, 0)), NA())</f>
        <v>130.77771675758868</v>
      </c>
      <c r="G129" s="2">
        <f t="shared" si="33"/>
        <v>5.9251007813625751</v>
      </c>
      <c r="H129" s="2">
        <f t="shared" si="34"/>
        <v>0.29600696083167444</v>
      </c>
      <c r="I129" s="2">
        <f t="shared" si="35"/>
        <v>1.7538710749125155</v>
      </c>
      <c r="J129" s="2">
        <f t="shared" si="36"/>
        <v>7.6789718562750906</v>
      </c>
      <c r="K129" s="23">
        <f t="shared" si="37"/>
        <v>13.233428165647405</v>
      </c>
      <c r="Q129" t="str">
        <f t="shared" si="38"/>
        <v>Moringa|8</v>
      </c>
      <c r="Y129">
        <f>Y128*(1-AB2) + MAX(0,J128-J129)</f>
        <v>0</v>
      </c>
      <c r="Z129">
        <f t="shared" si="39"/>
        <v>7.6789718562750906</v>
      </c>
    </row>
    <row r="130" spans="1:26" ht="16" customHeight="1" x14ac:dyDescent="0.2">
      <c r="A130" s="15" t="s">
        <v>17</v>
      </c>
      <c r="B130" s="2">
        <v>9</v>
      </c>
      <c r="C130" s="2">
        <f t="shared" ref="C130:C161" si="40">INDEX($N$2:$N$6, MATCH(A130, $M$2:$M$6, 0))</f>
        <v>79</v>
      </c>
      <c r="D130" s="2">
        <f t="shared" ref="D130:D161" si="41">IF(B130=1,INDEX($T$2:$T$6, MATCH(A130, $S$2:$S$6, 0)),INDEX($T$2:$T$6, MATCH(A130, $S$2:$S$6, 0))*POWER(INDEX($U$2:$U$6, MATCH(A130, $S$2:$S$6, 0)),MIN(B130-1,2))*POWER(INDEX($V$2:$V$6, MATCH(A130, $S$2:$S$6, 0)),MAX(MIN(B130-3,17),0))*POWER(INDEX($W$2:$W$6, MATCH(A130, $S$2:$S$6, 0)),MAX(B130-20,0)))</f>
        <v>0.5648994217775386</v>
      </c>
      <c r="E130" s="2">
        <f t="shared" ref="E130:E161" si="42">C130*D130</f>
        <v>44.62705432042555</v>
      </c>
      <c r="F130" s="2">
        <f>IFERROR(INDEX('3_GrowthInputs'!$F$2:$F$201, MATCH(Q130, '3_GrowthInputs'!$G$2:$G$201, 0)), NA())</f>
        <v>196.72033000017998</v>
      </c>
      <c r="G130" s="2">
        <f t="shared" ref="G130:G161" si="43">IF(OR(ISNA(E130),ISNA(F130)),NA(),E130*F130/1000)</f>
        <v>8.779048852850071</v>
      </c>
      <c r="H130" s="2">
        <f t="shared" ref="H130:H161" si="44">IF(ISNA(G130),NA(),IF(G130&gt;0,EXP(-1.085+0.9256*LN(G130))/G130,0))</f>
        <v>0.2874736185679892</v>
      </c>
      <c r="I130" s="2">
        <f t="shared" ref="I130:I161" si="45">IF(OR(ISNA(G130),ISNA(H130)),NA(),G130*H130)</f>
        <v>2.5237449413139643</v>
      </c>
      <c r="J130" s="2">
        <f t="shared" ref="J130:J161" si="46">IF(OR(ISNA(G130),ISNA(I130)),NA(),G130+I130)</f>
        <v>11.302793794164035</v>
      </c>
      <c r="K130" s="23">
        <f t="shared" ref="K130:K161" si="47">Z130*0.47*(44/12)</f>
        <v>19.478481305276016</v>
      </c>
      <c r="Q130" t="str">
        <f t="shared" ref="Q130:Q161" si="48">A130&amp;"|"&amp;B130</f>
        <v>Moringa|9</v>
      </c>
      <c r="Y130">
        <f>Y129*(1-AB2) + MAX(0,J129-J130)</f>
        <v>0</v>
      </c>
      <c r="Z130">
        <f t="shared" ref="Z130:Z161" si="49">J130+Y130</f>
        <v>11.302793794164035</v>
      </c>
    </row>
    <row r="131" spans="1:26" ht="16" customHeight="1" x14ac:dyDescent="0.2">
      <c r="A131" s="15" t="s">
        <v>17</v>
      </c>
      <c r="B131" s="2">
        <v>10</v>
      </c>
      <c r="C131" s="2">
        <f t="shared" si="40"/>
        <v>79</v>
      </c>
      <c r="D131" s="2">
        <f t="shared" si="41"/>
        <v>0.55642593045087541</v>
      </c>
      <c r="E131" s="2">
        <f t="shared" si="42"/>
        <v>43.957648505619154</v>
      </c>
      <c r="F131" s="2">
        <f>IFERROR(INDEX('3_GrowthInputs'!$F$2:$F$201, MATCH(Q131, '3_GrowthInputs'!$G$2:$G$201, 0)), NA())</f>
        <v>258.13730618602864</v>
      </c>
      <c r="G131" s="2">
        <f t="shared" si="43"/>
        <v>11.347108971512837</v>
      </c>
      <c r="H131" s="2">
        <f t="shared" si="44"/>
        <v>0.28203761036412567</v>
      </c>
      <c r="I131" s="2">
        <f t="shared" si="45"/>
        <v>3.2003114988668124</v>
      </c>
      <c r="J131" s="2">
        <f t="shared" si="46"/>
        <v>14.547420470379649</v>
      </c>
      <c r="K131" s="23">
        <f t="shared" si="47"/>
        <v>25.070054610620925</v>
      </c>
      <c r="Q131" t="str">
        <f t="shared" si="48"/>
        <v>Moringa|10</v>
      </c>
      <c r="Y131">
        <f>Y130*(1-AB2) + MAX(0,J130-J131)</f>
        <v>0</v>
      </c>
      <c r="Z131">
        <f t="shared" si="49"/>
        <v>14.547420470379649</v>
      </c>
    </row>
    <row r="132" spans="1:26" ht="16" customHeight="1" x14ac:dyDescent="0.2">
      <c r="A132" s="15" t="s">
        <v>17</v>
      </c>
      <c r="B132" s="2">
        <v>11</v>
      </c>
      <c r="C132" s="2">
        <f t="shared" si="40"/>
        <v>79</v>
      </c>
      <c r="D132" s="2">
        <f t="shared" si="41"/>
        <v>0.54807954149411231</v>
      </c>
      <c r="E132" s="2">
        <f t="shared" si="42"/>
        <v>43.298283778034872</v>
      </c>
      <c r="F132" s="2">
        <f>IFERROR(INDEX('3_GrowthInputs'!$F$2:$F$201, MATCH(Q132, '3_GrowthInputs'!$G$2:$G$201, 0)), NA())</f>
        <v>306.22955366292587</v>
      </c>
      <c r="G132" s="2">
        <f t="shared" si="43"/>
        <v>13.259214115718322</v>
      </c>
      <c r="H132" s="2">
        <f t="shared" si="44"/>
        <v>0.27878869824776215</v>
      </c>
      <c r="I132" s="2">
        <f t="shared" si="45"/>
        <v>3.6965190431094639</v>
      </c>
      <c r="J132" s="2">
        <f t="shared" si="46"/>
        <v>16.955733158827787</v>
      </c>
      <c r="K132" s="23">
        <f t="shared" si="47"/>
        <v>29.220380143713218</v>
      </c>
      <c r="Q132" t="str">
        <f t="shared" si="48"/>
        <v>Moringa|11</v>
      </c>
      <c r="Y132">
        <f>Y131*(1-AB2) + MAX(0,J131-J132)</f>
        <v>0</v>
      </c>
      <c r="Z132">
        <f t="shared" si="49"/>
        <v>16.955733158827787</v>
      </c>
    </row>
    <row r="133" spans="1:26" ht="16" customHeight="1" x14ac:dyDescent="0.2">
      <c r="A133" s="15" t="s">
        <v>17</v>
      </c>
      <c r="B133" s="2">
        <v>12</v>
      </c>
      <c r="C133" s="2">
        <f t="shared" si="40"/>
        <v>79</v>
      </c>
      <c r="D133" s="2">
        <f t="shared" si="41"/>
        <v>0.53985834837170066</v>
      </c>
      <c r="E133" s="2">
        <f t="shared" si="42"/>
        <v>42.648809521364349</v>
      </c>
      <c r="F133" s="2">
        <f>IFERROR(INDEX('3_GrowthInputs'!$F$2:$F$201, MATCH(Q133, '3_GrowthInputs'!$G$2:$G$201, 0)), NA())</f>
        <v>339.51979390475486</v>
      </c>
      <c r="G133" s="2">
        <f t="shared" si="43"/>
        <v>14.48011501897677</v>
      </c>
      <c r="H133" s="2">
        <f t="shared" si="44"/>
        <v>0.27696765211873681</v>
      </c>
      <c r="I133" s="2">
        <f t="shared" si="45"/>
        <v>4.0105234592152543</v>
      </c>
      <c r="J133" s="2">
        <f t="shared" si="46"/>
        <v>18.490638478192025</v>
      </c>
      <c r="K133" s="23">
        <f t="shared" si="47"/>
        <v>31.865533644084252</v>
      </c>
      <c r="Q133" t="str">
        <f t="shared" si="48"/>
        <v>Moringa|12</v>
      </c>
      <c r="Y133">
        <f>Y132*(1-AB2) + MAX(0,J132-J133)</f>
        <v>0</v>
      </c>
      <c r="Z133">
        <f t="shared" si="49"/>
        <v>18.490638478192025</v>
      </c>
    </row>
    <row r="134" spans="1:26" ht="16" customHeight="1" x14ac:dyDescent="0.2">
      <c r="A134" s="15" t="s">
        <v>17</v>
      </c>
      <c r="B134" s="2">
        <v>13</v>
      </c>
      <c r="C134" s="2">
        <f t="shared" si="40"/>
        <v>79</v>
      </c>
      <c r="D134" s="2">
        <f t="shared" si="41"/>
        <v>0.53176047314612518</v>
      </c>
      <c r="E134" s="2">
        <f t="shared" si="42"/>
        <v>42.009077378543893</v>
      </c>
      <c r="F134" s="2">
        <f>IFERROR(INDEX('3_GrowthInputs'!$F$2:$F$201, MATCH(Q134, '3_GrowthInputs'!$G$2:$G$201, 0)), NA())</f>
        <v>360.78064225888249</v>
      </c>
      <c r="G134" s="2">
        <f t="shared" si="43"/>
        <v>15.156061917334156</v>
      </c>
      <c r="H134" s="2">
        <f t="shared" si="44"/>
        <v>0.2760290947557546</v>
      </c>
      <c r="I134" s="2">
        <f t="shared" si="45"/>
        <v>4.1835140511039137</v>
      </c>
      <c r="J134" s="2">
        <f t="shared" si="46"/>
        <v>19.339575968438069</v>
      </c>
      <c r="K134" s="23">
        <f t="shared" si="47"/>
        <v>33.328535918941604</v>
      </c>
      <c r="Q134" t="str">
        <f t="shared" si="48"/>
        <v>Moringa|13</v>
      </c>
      <c r="Y134">
        <f>Y133*(1-AB2) + MAX(0,J133-J134)</f>
        <v>0</v>
      </c>
      <c r="Z134">
        <f t="shared" si="49"/>
        <v>19.339575968438069</v>
      </c>
    </row>
    <row r="135" spans="1:26" ht="16" customHeight="1" x14ac:dyDescent="0.2">
      <c r="A135" s="15" t="s">
        <v>17</v>
      </c>
      <c r="B135" s="2">
        <v>14</v>
      </c>
      <c r="C135" s="2">
        <f t="shared" si="40"/>
        <v>79</v>
      </c>
      <c r="D135" s="2">
        <f t="shared" si="41"/>
        <v>0.52378406604893335</v>
      </c>
      <c r="E135" s="2">
        <f t="shared" si="42"/>
        <v>41.378941217865737</v>
      </c>
      <c r="F135" s="2">
        <f>IFERROR(INDEX('3_GrowthInputs'!$F$2:$F$201, MATCH(Q135, '3_GrowthInputs'!$G$2:$G$201, 0)), NA())</f>
        <v>373.67696594271729</v>
      </c>
      <c r="G135" s="2">
        <f t="shared" si="43"/>
        <v>15.462357208214117</v>
      </c>
      <c r="H135" s="2">
        <f t="shared" si="44"/>
        <v>0.27561850639580276</v>
      </c>
      <c r="I135" s="2">
        <f t="shared" si="45"/>
        <v>4.26171179908635</v>
      </c>
      <c r="J135" s="2">
        <f t="shared" si="46"/>
        <v>19.724069007300468</v>
      </c>
      <c r="K135" s="23">
        <f t="shared" si="47"/>
        <v>33.9911455892478</v>
      </c>
      <c r="Q135" t="str">
        <f t="shared" si="48"/>
        <v>Moringa|14</v>
      </c>
      <c r="Y135">
        <f>Y134*(1-AB2) + MAX(0,J134-J135)</f>
        <v>0</v>
      </c>
      <c r="Z135">
        <f t="shared" si="49"/>
        <v>19.724069007300468</v>
      </c>
    </row>
    <row r="136" spans="1:26" ht="16" customHeight="1" x14ac:dyDescent="0.2">
      <c r="A136" s="15" t="s">
        <v>17</v>
      </c>
      <c r="B136" s="2">
        <v>15</v>
      </c>
      <c r="C136" s="2">
        <f t="shared" si="40"/>
        <v>79</v>
      </c>
      <c r="D136" s="2">
        <f t="shared" si="41"/>
        <v>0.51592730505819928</v>
      </c>
      <c r="E136" s="2">
        <f t="shared" si="42"/>
        <v>40.758257099597742</v>
      </c>
      <c r="F136" s="2">
        <f>IFERROR(INDEX('3_GrowthInputs'!$F$2:$F$201, MATCH(Q136, '3_GrowthInputs'!$G$2:$G$201, 0)), NA())</f>
        <v>381.29575424455152</v>
      </c>
      <c r="G136" s="2">
        <f t="shared" si="43"/>
        <v>15.540950382484468</v>
      </c>
      <c r="H136" s="2">
        <f t="shared" si="44"/>
        <v>0.27551456055178342</v>
      </c>
      <c r="I136" s="2">
        <f t="shared" si="45"/>
        <v>4.2817581151872783</v>
      </c>
      <c r="J136" s="2">
        <f t="shared" si="46"/>
        <v>19.822708497671748</v>
      </c>
      <c r="K136" s="23">
        <f t="shared" si="47"/>
        <v>34.161134310987642</v>
      </c>
      <c r="Q136" t="str">
        <f t="shared" si="48"/>
        <v>Moringa|15</v>
      </c>
      <c r="Y136">
        <f>Y135*(1-AB2) + MAX(0,J135-J136)</f>
        <v>0</v>
      </c>
      <c r="Z136">
        <f t="shared" si="49"/>
        <v>19.822708497671748</v>
      </c>
    </row>
    <row r="137" spans="1:26" ht="16" customHeight="1" x14ac:dyDescent="0.2">
      <c r="A137" s="15" t="s">
        <v>17</v>
      </c>
      <c r="B137" s="2">
        <v>16</v>
      </c>
      <c r="C137" s="2">
        <f t="shared" si="40"/>
        <v>79</v>
      </c>
      <c r="D137" s="2">
        <f t="shared" si="41"/>
        <v>0.5081883954823263</v>
      </c>
      <c r="E137" s="2">
        <f t="shared" si="42"/>
        <v>40.14688324310378</v>
      </c>
      <c r="F137" s="2">
        <f>IFERROR(INDEX('3_GrowthInputs'!$F$2:$F$201, MATCH(Q137, '3_GrowthInputs'!$G$2:$G$201, 0)), NA())</f>
        <v>385.67955785065681</v>
      </c>
      <c r="G137" s="2">
        <f t="shared" si="43"/>
        <v>15.483832178282208</v>
      </c>
      <c r="H137" s="2">
        <f t="shared" si="44"/>
        <v>0.27559004774270757</v>
      </c>
      <c r="I137" s="2">
        <f t="shared" si="45"/>
        <v>4.2671900492528652</v>
      </c>
      <c r="J137" s="2">
        <f t="shared" si="46"/>
        <v>19.751022227535074</v>
      </c>
      <c r="K137" s="23">
        <f t="shared" si="47"/>
        <v>34.161134310987642</v>
      </c>
      <c r="Q137" t="str">
        <f t="shared" si="48"/>
        <v>Moringa|16</v>
      </c>
      <c r="Y137">
        <f>Y136*(1-AB2) + MAX(0,J136-J137)</f>
        <v>7.1686270136673613E-2</v>
      </c>
      <c r="Z137">
        <f t="shared" si="49"/>
        <v>19.822708497671748</v>
      </c>
    </row>
    <row r="138" spans="1:26" ht="16" customHeight="1" x14ac:dyDescent="0.2">
      <c r="A138" s="15" t="s">
        <v>17</v>
      </c>
      <c r="B138" s="2">
        <v>17</v>
      </c>
      <c r="C138" s="2">
        <f t="shared" si="40"/>
        <v>79</v>
      </c>
      <c r="D138" s="2">
        <f t="shared" si="41"/>
        <v>0.50056556955009146</v>
      </c>
      <c r="E138" s="2">
        <f t="shared" si="42"/>
        <v>39.544679994457226</v>
      </c>
      <c r="F138" s="2">
        <f>IFERROR(INDEX('3_GrowthInputs'!$F$2:$F$201, MATCH(Q138, '3_GrowthInputs'!$G$2:$G$201, 0)), NA())</f>
        <v>388.20885682660997</v>
      </c>
      <c r="G138" s="2">
        <f t="shared" si="43"/>
        <v>15.351595014222355</v>
      </c>
      <c r="H138" s="2">
        <f t="shared" si="44"/>
        <v>0.27576596613870685</v>
      </c>
      <c r="I138" s="2">
        <f t="shared" si="45"/>
        <v>4.2334474308671828</v>
      </c>
      <c r="J138" s="2">
        <f t="shared" si="46"/>
        <v>19.585042445089538</v>
      </c>
      <c r="K138" s="23">
        <f t="shared" si="47"/>
        <v>34.148780377100756</v>
      </c>
      <c r="Q138" t="str">
        <f t="shared" si="48"/>
        <v>Moringa|17</v>
      </c>
      <c r="Y138">
        <f>Y137*(1-AB2) + MAX(0,J137-J138)</f>
        <v>0.23049742556854227</v>
      </c>
      <c r="Z138">
        <f t="shared" si="49"/>
        <v>19.815539870658082</v>
      </c>
    </row>
    <row r="139" spans="1:26" ht="16" customHeight="1" x14ac:dyDescent="0.2">
      <c r="A139" s="15" t="s">
        <v>17</v>
      </c>
      <c r="B139" s="2">
        <v>18</v>
      </c>
      <c r="C139" s="2">
        <f t="shared" si="40"/>
        <v>79</v>
      </c>
      <c r="D139" s="2">
        <f t="shared" si="41"/>
        <v>0.49305708600684001</v>
      </c>
      <c r="E139" s="2">
        <f t="shared" si="42"/>
        <v>38.951509794540364</v>
      </c>
      <c r="F139" s="2">
        <f>IFERROR(INDEX('3_GrowthInputs'!$F$2:$F$201, MATCH(Q139, '3_GrowthInputs'!$G$2:$G$201, 0)), NA())</f>
        <v>389.67830364529527</v>
      </c>
      <c r="G139" s="2">
        <f t="shared" si="43"/>
        <v>15.178558261159592</v>
      </c>
      <c r="H139" s="2">
        <f t="shared" si="44"/>
        <v>0.27599863634148664</v>
      </c>
      <c r="I139" s="2">
        <f t="shared" si="45"/>
        <v>4.1892613817098541</v>
      </c>
      <c r="J139" s="2">
        <f t="shared" si="46"/>
        <v>19.367819642869446</v>
      </c>
      <c r="K139" s="23">
        <f t="shared" si="47"/>
        <v>34.109057987427775</v>
      </c>
      <c r="Q139" t="str">
        <f t="shared" si="48"/>
        <v>Moringa|18</v>
      </c>
      <c r="Y139">
        <f>Y138*(1-AB2) + MAX(0,J138-J139)</f>
        <v>0.42467048523178064</v>
      </c>
      <c r="Z139">
        <f t="shared" si="49"/>
        <v>19.792490128101225</v>
      </c>
    </row>
    <row r="140" spans="1:26" ht="16" customHeight="1" x14ac:dyDescent="0.2">
      <c r="A140" s="15" t="s">
        <v>17</v>
      </c>
      <c r="B140" s="2">
        <v>19</v>
      </c>
      <c r="C140" s="2">
        <f t="shared" si="40"/>
        <v>79</v>
      </c>
      <c r="D140" s="2">
        <f t="shared" si="41"/>
        <v>0.48566122971673742</v>
      </c>
      <c r="E140" s="2">
        <f t="shared" si="42"/>
        <v>38.367237147622255</v>
      </c>
      <c r="F140" s="2">
        <f>IFERROR(INDEX('3_GrowthInputs'!$F$2:$F$201, MATCH(Q140, '3_GrowthInputs'!$G$2:$G$201, 0)), NA())</f>
        <v>390.47933762870491</v>
      </c>
      <c r="G140" s="2">
        <f t="shared" si="43"/>
        <v>14.981613348046979</v>
      </c>
      <c r="H140" s="2">
        <f t="shared" si="44"/>
        <v>0.27626694705440685</v>
      </c>
      <c r="I140" s="2">
        <f t="shared" si="45"/>
        <v>4.1389245816144902</v>
      </c>
      <c r="J140" s="2">
        <f t="shared" si="46"/>
        <v>19.12053792966147</v>
      </c>
      <c r="K140" s="23">
        <f t="shared" si="47"/>
        <v>34.035873107139501</v>
      </c>
      <c r="Q140" t="str">
        <f t="shared" si="48"/>
        <v>Moringa|19</v>
      </c>
      <c r="Y140">
        <f>Y139*(1-AB2) + MAX(0,J139-J140)</f>
        <v>0.629485149916578</v>
      </c>
      <c r="Z140">
        <f t="shared" si="49"/>
        <v>19.75002307957805</v>
      </c>
    </row>
    <row r="141" spans="1:26" ht="16" customHeight="1" x14ac:dyDescent="0.2">
      <c r="A141" s="15" t="s">
        <v>17</v>
      </c>
      <c r="B141" s="2">
        <v>20</v>
      </c>
      <c r="C141" s="2">
        <f t="shared" si="40"/>
        <v>79</v>
      </c>
      <c r="D141" s="2">
        <f t="shared" si="41"/>
        <v>0.47837631127098634</v>
      </c>
      <c r="E141" s="2">
        <f t="shared" si="42"/>
        <v>37.791728590407921</v>
      </c>
      <c r="F141" s="2">
        <f>IFERROR(INDEX('3_GrowthInputs'!$F$2:$F$201, MATCH(Q141, '3_GrowthInputs'!$G$2:$G$201, 0)), NA())</f>
        <v>390.9374315184354</v>
      </c>
      <c r="G141" s="2">
        <f t="shared" si="43"/>
        <v>14.774201307775893</v>
      </c>
      <c r="H141" s="2">
        <f t="shared" si="44"/>
        <v>0.27655364610964184</v>
      </c>
      <c r="I141" s="2">
        <f t="shared" si="45"/>
        <v>4.0858592400232618</v>
      </c>
      <c r="J141" s="2">
        <f t="shared" si="46"/>
        <v>18.860060547799154</v>
      </c>
      <c r="K141" s="23">
        <f t="shared" si="47"/>
        <v>33.927391832970542</v>
      </c>
      <c r="Q141" t="str">
        <f t="shared" si="48"/>
        <v>Moringa|20</v>
      </c>
      <c r="Y141">
        <f>Y140*(1-AB2) + MAX(0,J140-J141)</f>
        <v>0.82701401678723607</v>
      </c>
      <c r="Z141">
        <f t="shared" si="49"/>
        <v>19.687074564586389</v>
      </c>
    </row>
    <row r="142" spans="1:26" ht="16" customHeight="1" x14ac:dyDescent="0.2">
      <c r="A142" s="15" t="s">
        <v>17</v>
      </c>
      <c r="B142" s="2">
        <v>21</v>
      </c>
      <c r="C142" s="2">
        <f t="shared" si="40"/>
        <v>79</v>
      </c>
      <c r="D142" s="2">
        <f t="shared" si="41"/>
        <v>0.46402502193285672</v>
      </c>
      <c r="E142" s="2">
        <f t="shared" si="42"/>
        <v>36.65797673269568</v>
      </c>
      <c r="F142" s="2">
        <f>IFERROR(INDEX('3_GrowthInputs'!$F$2:$F$201, MATCH(Q142, '3_GrowthInputs'!$G$2:$G$201, 0)), NA())</f>
        <v>391.19204130967006</v>
      </c>
      <c r="G142" s="2">
        <f t="shared" si="43"/>
        <v>14.340308748345613</v>
      </c>
      <c r="H142" s="2">
        <f t="shared" si="44"/>
        <v>0.27716764679167677</v>
      </c>
      <c r="I142" s="2">
        <f t="shared" si="45"/>
        <v>3.9746696300450495</v>
      </c>
      <c r="J142" s="2">
        <f t="shared" si="46"/>
        <v>18.314978378390663</v>
      </c>
      <c r="K142" s="23">
        <f t="shared" si="47"/>
        <v>33.784869750744207</v>
      </c>
      <c r="Q142" t="str">
        <f t="shared" si="48"/>
        <v>Moringa|21</v>
      </c>
      <c r="Y142">
        <f>Y141*(1-AB2) + MAX(0,J141-J142)</f>
        <v>1.289394784517004</v>
      </c>
      <c r="Z142">
        <f t="shared" si="49"/>
        <v>19.604373162907667</v>
      </c>
    </row>
    <row r="143" spans="1:26" ht="16" customHeight="1" x14ac:dyDescent="0.2">
      <c r="A143" s="15" t="s">
        <v>17</v>
      </c>
      <c r="B143" s="2">
        <v>22</v>
      </c>
      <c r="C143" s="2">
        <f t="shared" si="40"/>
        <v>79</v>
      </c>
      <c r="D143" s="2">
        <f t="shared" si="41"/>
        <v>0.45010427127487102</v>
      </c>
      <c r="E143" s="2">
        <f t="shared" si="42"/>
        <v>35.558237430714811</v>
      </c>
      <c r="F143" s="2">
        <f>IFERROR(INDEX('3_GrowthInputs'!$F$2:$F$201, MATCH(Q143, '3_GrowthInputs'!$G$2:$G$201, 0)), NA())</f>
        <v>391.34484599027689</v>
      </c>
      <c r="G143" s="2">
        <f t="shared" si="43"/>
        <v>13.915532951008787</v>
      </c>
      <c r="H143" s="2">
        <f t="shared" si="44"/>
        <v>0.27778839514053905</v>
      </c>
      <c r="I143" s="2">
        <f t="shared" si="45"/>
        <v>3.8655735659860202</v>
      </c>
      <c r="J143" s="2">
        <f t="shared" si="46"/>
        <v>17.781106516994807</v>
      </c>
      <c r="K143" s="23">
        <f t="shared" si="47"/>
        <v>33.562664049545781</v>
      </c>
      <c r="Q143" t="str">
        <f t="shared" si="48"/>
        <v>Moringa|22</v>
      </c>
      <c r="Y143">
        <f>Y142*(1-AB2) + MAX(0,J142-J143)</f>
        <v>1.6943271674611591</v>
      </c>
      <c r="Z143">
        <f t="shared" si="49"/>
        <v>19.475433684455965</v>
      </c>
    </row>
    <row r="144" spans="1:26" ht="16" customHeight="1" x14ac:dyDescent="0.2">
      <c r="A144" s="15" t="s">
        <v>17</v>
      </c>
      <c r="B144" s="2">
        <v>23</v>
      </c>
      <c r="C144" s="2">
        <f t="shared" si="40"/>
        <v>79</v>
      </c>
      <c r="D144" s="2">
        <f t="shared" si="41"/>
        <v>0.4366011431366249</v>
      </c>
      <c r="E144" s="2">
        <f t="shared" si="42"/>
        <v>34.49149030779337</v>
      </c>
      <c r="F144" s="2">
        <f>IFERROR(INDEX('3_GrowthInputs'!$F$2:$F$201, MATCH(Q144, '3_GrowthInputs'!$G$2:$G$201, 0)), NA())</f>
        <v>391.42125924462033</v>
      </c>
      <c r="G144" s="2">
        <f t="shared" si="43"/>
        <v>13.500702569500097</v>
      </c>
      <c r="H144" s="2">
        <f t="shared" si="44"/>
        <v>0.27841457910033723</v>
      </c>
      <c r="I144" s="2">
        <f t="shared" si="45"/>
        <v>3.7587924234462111</v>
      </c>
      <c r="J144" s="2">
        <f t="shared" si="46"/>
        <v>17.259494992946308</v>
      </c>
      <c r="K144" s="23">
        <f t="shared" si="47"/>
        <v>33.270675001019974</v>
      </c>
      <c r="Q144" t="str">
        <f t="shared" si="48"/>
        <v>Moringa|23</v>
      </c>
      <c r="Y144">
        <f>Y143*(1-AB2) + MAX(0,J143-J144)</f>
        <v>2.0465059747635421</v>
      </c>
      <c r="Z144">
        <f t="shared" si="49"/>
        <v>19.306000967709849</v>
      </c>
    </row>
    <row r="145" spans="1:26" ht="16" customHeight="1" x14ac:dyDescent="0.2">
      <c r="A145" s="15" t="s">
        <v>17</v>
      </c>
      <c r="B145" s="2">
        <v>24</v>
      </c>
      <c r="C145" s="2">
        <f t="shared" si="40"/>
        <v>79</v>
      </c>
      <c r="D145" s="2">
        <f t="shared" si="41"/>
        <v>0.42350310884252612</v>
      </c>
      <c r="E145" s="2">
        <f t="shared" si="42"/>
        <v>33.456745598559564</v>
      </c>
      <c r="F145" s="2">
        <f>IFERROR(INDEX('3_GrowthInputs'!$F$2:$F$201, MATCH(Q145, '3_GrowthInputs'!$G$2:$G$201, 0)), NA())</f>
        <v>391.47220545639505</v>
      </c>
      <c r="G145" s="2">
        <f t="shared" si="43"/>
        <v>13.097385986861651</v>
      </c>
      <c r="H145" s="2">
        <f t="shared" si="44"/>
        <v>0.27904352591975917</v>
      </c>
      <c r="I145" s="2">
        <f t="shared" si="45"/>
        <v>3.6547407661059199</v>
      </c>
      <c r="J145" s="2">
        <f t="shared" si="46"/>
        <v>16.75212675296757</v>
      </c>
      <c r="K145" s="23">
        <f t="shared" si="47"/>
        <v>32.917993804702384</v>
      </c>
      <c r="Q145" t="str">
        <f t="shared" si="48"/>
        <v>Moringa|24</v>
      </c>
      <c r="Y145">
        <f>Y144*(1-AB2) + MAX(0,J144-J145)</f>
        <v>2.3492236172659267</v>
      </c>
      <c r="Z145">
        <f t="shared" si="49"/>
        <v>19.101350370233497</v>
      </c>
    </row>
    <row r="146" spans="1:26" ht="16" customHeight="1" x14ac:dyDescent="0.2">
      <c r="A146" s="15" t="s">
        <v>17</v>
      </c>
      <c r="B146" s="2">
        <v>25</v>
      </c>
      <c r="C146" s="2">
        <f t="shared" si="40"/>
        <v>79</v>
      </c>
      <c r="D146" s="2">
        <f t="shared" si="41"/>
        <v>0.41079801557725032</v>
      </c>
      <c r="E146" s="2">
        <f t="shared" si="42"/>
        <v>32.453043230602773</v>
      </c>
      <c r="F146" s="2">
        <f>IFERROR(INDEX('3_GrowthInputs'!$F$2:$F$201, MATCH(Q146, '3_GrowthInputs'!$G$2:$G$201, 0)), NA())</f>
        <v>391.49767977494236</v>
      </c>
      <c r="G146" s="2">
        <f t="shared" si="43"/>
        <v>12.705291126416885</v>
      </c>
      <c r="H146" s="2">
        <f t="shared" si="44"/>
        <v>0.27967524766785262</v>
      </c>
      <c r="I146" s="2">
        <f t="shared" si="45"/>
        <v>3.5533554424728124</v>
      </c>
      <c r="J146" s="2">
        <f t="shared" si="46"/>
        <v>16.258646568889699</v>
      </c>
      <c r="K146" s="23">
        <f t="shared" si="47"/>
        <v>32.51314426799356</v>
      </c>
      <c r="Q146" t="str">
        <f t="shared" si="48"/>
        <v>Moringa|25</v>
      </c>
      <c r="Y146">
        <f>Y145*(1-AB2) + MAX(0,J145-J146)</f>
        <v>2.607781439617205</v>
      </c>
      <c r="Z146">
        <f t="shared" si="49"/>
        <v>18.866428008506904</v>
      </c>
    </row>
    <row r="147" spans="1:26" ht="16" customHeight="1" x14ac:dyDescent="0.2">
      <c r="A147" s="15" t="s">
        <v>17</v>
      </c>
      <c r="B147" s="2">
        <v>26</v>
      </c>
      <c r="C147" s="2">
        <f t="shared" si="40"/>
        <v>79</v>
      </c>
      <c r="D147" s="2">
        <f t="shared" si="41"/>
        <v>0.39847407510993282</v>
      </c>
      <c r="E147" s="2">
        <f t="shared" si="42"/>
        <v>31.479451933684693</v>
      </c>
      <c r="F147" s="2">
        <f>IFERROR(INDEX('3_GrowthInputs'!$F$2:$F$201, MATCH(Q147, '3_GrowthInputs'!$G$2:$G$201, 0)), NA())</f>
        <v>391.51041723738064</v>
      </c>
      <c r="G147" s="2">
        <f t="shared" si="43"/>
        <v>12.324533360960963</v>
      </c>
      <c r="H147" s="2">
        <f t="shared" si="44"/>
        <v>0.28030907810363603</v>
      </c>
      <c r="I147" s="2">
        <f t="shared" si="45"/>
        <v>3.4546785844684744</v>
      </c>
      <c r="J147" s="2">
        <f t="shared" si="46"/>
        <v>15.779211945429438</v>
      </c>
      <c r="K147" s="23">
        <f t="shared" si="47"/>
        <v>32.063736599899528</v>
      </c>
      <c r="Q147" t="str">
        <f t="shared" si="48"/>
        <v>Moringa|26</v>
      </c>
      <c r="Y147">
        <f>Y146*(1-AB2) + MAX(0,J146-J147)</f>
        <v>2.8264379191157452</v>
      </c>
      <c r="Z147">
        <f t="shared" si="49"/>
        <v>18.605649864545182</v>
      </c>
    </row>
    <row r="148" spans="1:26" ht="16" customHeight="1" x14ac:dyDescent="0.2">
      <c r="A148" s="15" t="s">
        <v>17</v>
      </c>
      <c r="B148" s="2">
        <v>27</v>
      </c>
      <c r="C148" s="2">
        <f t="shared" si="40"/>
        <v>79</v>
      </c>
      <c r="D148" s="2">
        <f t="shared" si="41"/>
        <v>0.38651985285663487</v>
      </c>
      <c r="E148" s="2">
        <f t="shared" si="42"/>
        <v>30.535068375674154</v>
      </c>
      <c r="F148" s="2">
        <f>IFERROR(INDEX('3_GrowthInputs'!$F$2:$F$201, MATCH(Q148, '3_GrowthInputs'!$G$2:$G$201, 0)), NA())</f>
        <v>391.52315490192791</v>
      </c>
      <c r="G148" s="2">
        <f t="shared" si="43"/>
        <v>11.955186305590033</v>
      </c>
      <c r="H148" s="2">
        <f t="shared" si="44"/>
        <v>0.28094434500615934</v>
      </c>
      <c r="I148" s="2">
        <f t="shared" si="45"/>
        <v>3.3587419860505974</v>
      </c>
      <c r="J148" s="2">
        <f t="shared" si="46"/>
        <v>15.313928291640631</v>
      </c>
      <c r="K148" s="23">
        <f t="shared" si="47"/>
        <v>31.576647131838584</v>
      </c>
      <c r="Q148" t="str">
        <f t="shared" si="48"/>
        <v>Moringa|27</v>
      </c>
      <c r="Y148">
        <f>Y147*(1-AB2) + MAX(0,J147-J148)</f>
        <v>3.0090777809929783</v>
      </c>
      <c r="Z148">
        <f t="shared" si="49"/>
        <v>18.323006072633611</v>
      </c>
    </row>
    <row r="149" spans="1:26" ht="16" customHeight="1" x14ac:dyDescent="0.2">
      <c r="A149" s="15" t="s">
        <v>17</v>
      </c>
      <c r="B149" s="2">
        <v>28</v>
      </c>
      <c r="C149" s="2">
        <f t="shared" si="40"/>
        <v>79</v>
      </c>
      <c r="D149" s="2">
        <f t="shared" si="41"/>
        <v>0.37492425727093581</v>
      </c>
      <c r="E149" s="2">
        <f t="shared" si="42"/>
        <v>29.61901632440393</v>
      </c>
      <c r="F149" s="2">
        <f>IFERROR(INDEX('3_GrowthInputs'!$F$2:$F$201, MATCH(Q149, '3_GrowthInputs'!$G$2:$G$201, 0)), NA())</f>
        <v>391.5358927685852</v>
      </c>
      <c r="G149" s="2">
        <f t="shared" si="43"/>
        <v>11.596907999502791</v>
      </c>
      <c r="H149" s="2">
        <f t="shared" si="44"/>
        <v>0.28158105163095065</v>
      </c>
      <c r="I149" s="2">
        <f t="shared" si="45"/>
        <v>3.2654695501673801</v>
      </c>
      <c r="J149" s="2">
        <f t="shared" si="46"/>
        <v>14.862377549670171</v>
      </c>
      <c r="K149" s="23">
        <f t="shared" si="47"/>
        <v>31.058082727580793</v>
      </c>
      <c r="Q149" t="str">
        <f t="shared" si="48"/>
        <v>Moringa|28</v>
      </c>
      <c r="Y149">
        <f>Y148*(1-AB2) + MAX(0,J148-J149)</f>
        <v>3.1597207448641398</v>
      </c>
      <c r="Z149">
        <f t="shared" si="49"/>
        <v>18.02209829453431</v>
      </c>
    </row>
    <row r="150" spans="1:26" ht="16" customHeight="1" x14ac:dyDescent="0.2">
      <c r="A150" s="15" t="s">
        <v>17</v>
      </c>
      <c r="B150" s="2">
        <v>29</v>
      </c>
      <c r="C150" s="2">
        <f t="shared" si="40"/>
        <v>79</v>
      </c>
      <c r="D150" s="2">
        <f t="shared" si="41"/>
        <v>0.36367652955280771</v>
      </c>
      <c r="E150" s="2">
        <f t="shared" si="42"/>
        <v>28.730445834671809</v>
      </c>
      <c r="F150" s="2">
        <f>IFERROR(INDEX('3_GrowthInputs'!$F$2:$F$201, MATCH(Q150, '3_GrowthInputs'!$G$2:$G$201, 0)), NA())</f>
        <v>391.5358927685852</v>
      </c>
      <c r="G150" s="2">
        <f t="shared" si="43"/>
        <v>11.249000759517706</v>
      </c>
      <c r="H150" s="2">
        <f t="shared" si="44"/>
        <v>0.2822198843419827</v>
      </c>
      <c r="I150" s="2">
        <f t="shared" si="45"/>
        <v>3.1746916933139624</v>
      </c>
      <c r="J150" s="2">
        <f t="shared" si="46"/>
        <v>14.423692452831668</v>
      </c>
      <c r="K150" s="23">
        <f t="shared" si="47"/>
        <v>30.513557519215873</v>
      </c>
      <c r="Q150" t="str">
        <f t="shared" si="48"/>
        <v>Moringa|29</v>
      </c>
      <c r="Y150">
        <f>Y149*(1-AB2) + MAX(0,J149-J150)</f>
        <v>3.2824337672162289</v>
      </c>
      <c r="Z150">
        <f t="shared" si="49"/>
        <v>17.706126220047896</v>
      </c>
    </row>
    <row r="151" spans="1:26" ht="16" customHeight="1" x14ac:dyDescent="0.2">
      <c r="A151" s="15" t="s">
        <v>17</v>
      </c>
      <c r="B151" s="2">
        <v>30</v>
      </c>
      <c r="C151" s="2">
        <f t="shared" si="40"/>
        <v>79</v>
      </c>
      <c r="D151" s="2">
        <f t="shared" si="41"/>
        <v>0.35276623366622351</v>
      </c>
      <c r="E151" s="2">
        <f t="shared" si="42"/>
        <v>27.868532459631655</v>
      </c>
      <c r="F151" s="2">
        <f>IFERROR(INDEX('3_GrowthInputs'!$F$2:$F$201, MATCH(Q151, '3_GrowthInputs'!$G$2:$G$201, 0)), NA())</f>
        <v>391.5358927685852</v>
      </c>
      <c r="G151" s="2">
        <f t="shared" si="43"/>
        <v>10.911530736732177</v>
      </c>
      <c r="H151" s="2">
        <f t="shared" si="44"/>
        <v>0.28286016639497286</v>
      </c>
      <c r="I151" s="2">
        <f t="shared" si="45"/>
        <v>3.086437399815924</v>
      </c>
      <c r="J151" s="2">
        <f t="shared" si="46"/>
        <v>13.997968136548101</v>
      </c>
      <c r="K151" s="23">
        <f t="shared" si="47"/>
        <v>29.947884766665609</v>
      </c>
      <c r="Q151" t="str">
        <f t="shared" si="48"/>
        <v>Moringa|30</v>
      </c>
      <c r="Y151">
        <f>Y150*(1-AB2) + MAX(0,J150-J151)</f>
        <v>3.3799147067781732</v>
      </c>
      <c r="Z151">
        <f t="shared" si="49"/>
        <v>17.377882843326276</v>
      </c>
    </row>
    <row r="152" spans="1:26" ht="16" customHeight="1" x14ac:dyDescent="0.2">
      <c r="A152" s="15" t="s">
        <v>17</v>
      </c>
      <c r="B152" s="2">
        <v>31</v>
      </c>
      <c r="C152" s="2">
        <f t="shared" si="40"/>
        <v>79</v>
      </c>
      <c r="D152" s="2">
        <f t="shared" si="41"/>
        <v>0.34218324665623678</v>
      </c>
      <c r="E152" s="2">
        <f t="shared" si="42"/>
        <v>27.032476485842707</v>
      </c>
      <c r="F152" s="2">
        <f>IFERROR(INDEX('3_GrowthInputs'!$F$2:$F$201, MATCH(Q152, '3_GrowthInputs'!$G$2:$G$201, 0)), NA())</f>
        <v>391.5358927685852</v>
      </c>
      <c r="G152" s="2">
        <f t="shared" si="43"/>
        <v>10.584184814630211</v>
      </c>
      <c r="H152" s="2">
        <f t="shared" si="44"/>
        <v>0.28350190107809314</v>
      </c>
      <c r="I152" s="2">
        <f t="shared" si="45"/>
        <v>3.0006365163095499</v>
      </c>
      <c r="J152" s="2">
        <f t="shared" si="46"/>
        <v>13.584821330939761</v>
      </c>
      <c r="K152" s="23">
        <f t="shared" si="47"/>
        <v>29.36541279886417</v>
      </c>
      <c r="Q152" t="str">
        <f t="shared" si="48"/>
        <v>Moringa|31</v>
      </c>
      <c r="Y152">
        <f>Y151*(1-AB2) + MAX(0,J151-J152)</f>
        <v>3.4550700417086961</v>
      </c>
      <c r="Z152">
        <f t="shared" si="49"/>
        <v>17.039891372648455</v>
      </c>
    </row>
    <row r="153" spans="1:26" ht="16" customHeight="1" x14ac:dyDescent="0.2">
      <c r="A153" s="15" t="s">
        <v>17</v>
      </c>
      <c r="B153" s="2">
        <v>32</v>
      </c>
      <c r="C153" s="2">
        <f t="shared" si="40"/>
        <v>79</v>
      </c>
      <c r="D153" s="2">
        <f t="shared" si="41"/>
        <v>0.33191774925654965</v>
      </c>
      <c r="E153" s="2">
        <f t="shared" si="42"/>
        <v>26.221502191267422</v>
      </c>
      <c r="F153" s="2">
        <f>IFERROR(INDEX('3_GrowthInputs'!$F$2:$F$201, MATCH(Q153, '3_GrowthInputs'!$G$2:$G$201, 0)), NA())</f>
        <v>391.5358927685852</v>
      </c>
      <c r="G153" s="2">
        <f t="shared" si="43"/>
        <v>10.266659270191303</v>
      </c>
      <c r="H153" s="2">
        <f t="shared" si="44"/>
        <v>0.28414509168697627</v>
      </c>
      <c r="I153" s="2">
        <f t="shared" si="45"/>
        <v>2.9172208396474528</v>
      </c>
      <c r="J153" s="2">
        <f t="shared" si="46"/>
        <v>13.183880109838755</v>
      </c>
      <c r="K153" s="23">
        <f t="shared" si="47"/>
        <v>28.76998906167637</v>
      </c>
      <c r="Q153" t="str">
        <f t="shared" si="48"/>
        <v>Moringa|32</v>
      </c>
      <c r="Y153">
        <f>Y152*(1-AB2) + MAX(0,J152-J153)</f>
        <v>3.5105042586388322</v>
      </c>
      <c r="Z153">
        <f t="shared" si="49"/>
        <v>16.694384368477586</v>
      </c>
    </row>
    <row r="154" spans="1:26" ht="16" customHeight="1" x14ac:dyDescent="0.2">
      <c r="A154" s="15" t="s">
        <v>17</v>
      </c>
      <c r="B154" s="2">
        <v>33</v>
      </c>
      <c r="C154" s="2">
        <f t="shared" si="40"/>
        <v>79</v>
      </c>
      <c r="D154" s="2">
        <f t="shared" si="41"/>
        <v>0.32196021677885317</v>
      </c>
      <c r="E154" s="2">
        <f t="shared" si="42"/>
        <v>25.434857125529401</v>
      </c>
      <c r="F154" s="2">
        <f>IFERROR(INDEX('3_GrowthInputs'!$F$2:$F$201, MATCH(Q154, '3_GrowthInputs'!$G$2:$G$201, 0)), NA())</f>
        <v>391.5358927685852</v>
      </c>
      <c r="G154" s="2">
        <f t="shared" si="43"/>
        <v>9.9586594920855642</v>
      </c>
      <c r="H154" s="2">
        <f t="shared" si="44"/>
        <v>0.28478974152473147</v>
      </c>
      <c r="I154" s="2">
        <f t="shared" si="45"/>
        <v>2.8361240626838615</v>
      </c>
      <c r="J154" s="2">
        <f t="shared" si="46"/>
        <v>12.794783554769426</v>
      </c>
      <c r="K154" s="23">
        <f t="shared" si="47"/>
        <v>28.165012161104283</v>
      </c>
      <c r="Q154" t="str">
        <f t="shared" si="48"/>
        <v>Moringa|33</v>
      </c>
      <c r="Y154">
        <f>Y153*(1-AB2) + MAX(0,J153-J154)</f>
        <v>3.5485503878442786</v>
      </c>
      <c r="Z154">
        <f t="shared" si="49"/>
        <v>16.343333942613704</v>
      </c>
    </row>
    <row r="155" spans="1:26" ht="16" customHeight="1" x14ac:dyDescent="0.2">
      <c r="A155" s="15" t="s">
        <v>17</v>
      </c>
      <c r="B155" s="2">
        <v>34</v>
      </c>
      <c r="C155" s="2">
        <f t="shared" si="40"/>
        <v>79</v>
      </c>
      <c r="D155" s="2">
        <f t="shared" si="41"/>
        <v>0.31230141027548758</v>
      </c>
      <c r="E155" s="2">
        <f t="shared" si="42"/>
        <v>24.671811411763517</v>
      </c>
      <c r="F155" s="2">
        <f>IFERROR(INDEX('3_GrowthInputs'!$F$2:$F$201, MATCH(Q155, '3_GrowthInputs'!$G$2:$G$201, 0)), NA())</f>
        <v>391.5358927685852</v>
      </c>
      <c r="G155" s="2">
        <f t="shared" si="43"/>
        <v>9.659899707322996</v>
      </c>
      <c r="H155" s="2">
        <f t="shared" si="44"/>
        <v>0.28543585390196219</v>
      </c>
      <c r="I155" s="2">
        <f t="shared" si="45"/>
        <v>2.757281721567054</v>
      </c>
      <c r="J155" s="2">
        <f t="shared" si="46"/>
        <v>12.41718142889005</v>
      </c>
      <c r="K155" s="23">
        <f t="shared" si="47"/>
        <v>27.553478644265784</v>
      </c>
      <c r="Q155" t="str">
        <f t="shared" si="48"/>
        <v>Moringa|34</v>
      </c>
      <c r="Y155">
        <f>Y154*(1-AB2) + MAX(0,J154-J155)</f>
        <v>3.5712974749392266</v>
      </c>
      <c r="Z155">
        <f t="shared" si="49"/>
        <v>15.988478903829277</v>
      </c>
    </row>
    <row r="156" spans="1:26" ht="16" customHeight="1" x14ac:dyDescent="0.2">
      <c r="A156" s="15" t="s">
        <v>17</v>
      </c>
      <c r="B156" s="2">
        <v>35</v>
      </c>
      <c r="C156" s="2">
        <f t="shared" si="40"/>
        <v>79</v>
      </c>
      <c r="D156" s="2">
        <f t="shared" si="41"/>
        <v>0.30293236796722295</v>
      </c>
      <c r="E156" s="2">
        <f t="shared" si="42"/>
        <v>23.931657069410612</v>
      </c>
      <c r="F156" s="2">
        <f>IFERROR(INDEX('3_GrowthInputs'!$F$2:$F$201, MATCH(Q156, '3_GrowthInputs'!$G$2:$G$201, 0)), NA())</f>
        <v>391.5358927685852</v>
      </c>
      <c r="G156" s="2">
        <f t="shared" si="43"/>
        <v>9.3701027161033075</v>
      </c>
      <c r="H156" s="2">
        <f t="shared" si="44"/>
        <v>0.28608343213678228</v>
      </c>
      <c r="I156" s="2">
        <f t="shared" si="45"/>
        <v>2.6806311444970197</v>
      </c>
      <c r="J156" s="2">
        <f t="shared" si="46"/>
        <v>12.050733860600328</v>
      </c>
      <c r="K156" s="23">
        <f t="shared" si="47"/>
        <v>26.93802504608459</v>
      </c>
      <c r="Q156" t="str">
        <f t="shared" si="48"/>
        <v>Moringa|35</v>
      </c>
      <c r="Y156">
        <f>Y155*(1-AB2) + MAX(0,J155-J156)</f>
        <v>3.5806152957350257</v>
      </c>
      <c r="Z156">
        <f t="shared" si="49"/>
        <v>15.631349156335354</v>
      </c>
    </row>
    <row r="157" spans="1:26" ht="16" customHeight="1" x14ac:dyDescent="0.2">
      <c r="A157" s="15" t="s">
        <v>17</v>
      </c>
      <c r="B157" s="2">
        <v>36</v>
      </c>
      <c r="C157" s="2">
        <f t="shared" si="40"/>
        <v>79</v>
      </c>
      <c r="D157" s="2">
        <f t="shared" si="41"/>
        <v>0.29384439692820624</v>
      </c>
      <c r="E157" s="2">
        <f t="shared" si="42"/>
        <v>23.213707357328293</v>
      </c>
      <c r="F157" s="2">
        <f>IFERROR(INDEX('3_GrowthInputs'!$F$2:$F$201, MATCH(Q157, '3_GrowthInputs'!$G$2:$G$201, 0)), NA())</f>
        <v>391.5358927685852</v>
      </c>
      <c r="G157" s="2">
        <f t="shared" si="43"/>
        <v>9.0889996346202082</v>
      </c>
      <c r="H157" s="2">
        <f t="shared" si="44"/>
        <v>0.28673247955483372</v>
      </c>
      <c r="I157" s="2">
        <f t="shared" si="45"/>
        <v>2.6061114019076301</v>
      </c>
      <c r="J157" s="2">
        <f t="shared" si="46"/>
        <v>11.695111036527837</v>
      </c>
      <c r="K157" s="23">
        <f t="shared" si="47"/>
        <v>26.320965676786251</v>
      </c>
      <c r="Q157" t="str">
        <f t="shared" si="48"/>
        <v>Moringa|36</v>
      </c>
      <c r="Y157">
        <f>Y156*(1-AB2) + MAX(0,J156-J157)</f>
        <v>3.5781765902340137</v>
      </c>
      <c r="Z157">
        <f t="shared" si="49"/>
        <v>15.273287626761851</v>
      </c>
    </row>
    <row r="158" spans="1:26" ht="16" customHeight="1" x14ac:dyDescent="0.2">
      <c r="A158" s="15" t="s">
        <v>17</v>
      </c>
      <c r="B158" s="2">
        <v>37</v>
      </c>
      <c r="C158" s="2">
        <f t="shared" si="40"/>
        <v>79</v>
      </c>
      <c r="D158" s="2">
        <f t="shared" si="41"/>
        <v>0.28502906502036007</v>
      </c>
      <c r="E158" s="2">
        <f t="shared" si="42"/>
        <v>22.517296136608447</v>
      </c>
      <c r="F158" s="2">
        <f>IFERROR(INDEX('3_GrowthInputs'!$F$2:$F$201, MATCH(Q158, '3_GrowthInputs'!$G$2:$G$201, 0)), NA())</f>
        <v>391.5358927685852</v>
      </c>
      <c r="G158" s="2">
        <f t="shared" si="43"/>
        <v>8.8163296455816038</v>
      </c>
      <c r="H158" s="2">
        <f t="shared" si="44"/>
        <v>0.28738299948930385</v>
      </c>
      <c r="I158" s="2">
        <f t="shared" si="45"/>
        <v>2.5336632580337124</v>
      </c>
      <c r="J158" s="2">
        <f t="shared" si="46"/>
        <v>11.349992903615316</v>
      </c>
      <c r="K158" s="23">
        <f t="shared" si="47"/>
        <v>25.704326577735923</v>
      </c>
      <c r="Q158" t="str">
        <f t="shared" si="48"/>
        <v>Moringa|37</v>
      </c>
      <c r="Y158">
        <f>Y157*(1-AB2) + MAX(0,J157-J158)</f>
        <v>3.5654770641231335</v>
      </c>
      <c r="Z158">
        <f t="shared" si="49"/>
        <v>14.915469967738449</v>
      </c>
    </row>
    <row r="159" spans="1:26" ht="16" customHeight="1" x14ac:dyDescent="0.2">
      <c r="A159" s="15" t="s">
        <v>17</v>
      </c>
      <c r="B159" s="2">
        <v>38</v>
      </c>
      <c r="C159" s="2">
        <f t="shared" si="40"/>
        <v>79</v>
      </c>
      <c r="D159" s="2">
        <f t="shared" si="41"/>
        <v>0.27647819306974925</v>
      </c>
      <c r="E159" s="2">
        <f t="shared" si="42"/>
        <v>21.841777252510191</v>
      </c>
      <c r="F159" s="2">
        <f>IFERROR(INDEX('3_GrowthInputs'!$F$2:$F$201, MATCH(Q159, '3_GrowthInputs'!$G$2:$G$201, 0)), NA())</f>
        <v>391.5358927685852</v>
      </c>
      <c r="G159" s="2">
        <f t="shared" si="43"/>
        <v>8.5518397562141537</v>
      </c>
      <c r="H159" s="2">
        <f t="shared" si="44"/>
        <v>0.28803499528094145</v>
      </c>
      <c r="I159" s="2">
        <f t="shared" si="45"/>
        <v>2.4632291238245112</v>
      </c>
      <c r="J159" s="2">
        <f t="shared" si="46"/>
        <v>11.015068880038665</v>
      </c>
      <c r="K159" s="23">
        <f t="shared" si="47"/>
        <v>25.089876030352041</v>
      </c>
      <c r="Q159" t="str">
        <f t="shared" si="48"/>
        <v>Moringa|38</v>
      </c>
      <c r="Y159">
        <f>Y158*(1-AB2) + MAX(0,J158-J159)</f>
        <v>3.5438533812874708</v>
      </c>
      <c r="Z159">
        <f t="shared" si="49"/>
        <v>14.558922261326137</v>
      </c>
    </row>
    <row r="160" spans="1:26" ht="16" customHeight="1" x14ac:dyDescent="0.2">
      <c r="A160" s="15" t="s">
        <v>17</v>
      </c>
      <c r="B160" s="2">
        <v>39</v>
      </c>
      <c r="C160" s="2">
        <f t="shared" si="40"/>
        <v>79</v>
      </c>
      <c r="D160" s="2">
        <f t="shared" si="41"/>
        <v>0.26818384727765676</v>
      </c>
      <c r="E160" s="2">
        <f t="shared" si="42"/>
        <v>21.186523934934883</v>
      </c>
      <c r="F160" s="2">
        <f>IFERROR(INDEX('3_GrowthInputs'!$F$2:$F$201, MATCH(Q160, '3_GrowthInputs'!$G$2:$G$201, 0)), NA())</f>
        <v>391.5358927685852</v>
      </c>
      <c r="G160" s="2">
        <f t="shared" si="43"/>
        <v>8.2952845635277281</v>
      </c>
      <c r="H160" s="2">
        <f t="shared" si="44"/>
        <v>0.28868847027807515</v>
      </c>
      <c r="I160" s="2">
        <f t="shared" si="45"/>
        <v>2.3947530111661499</v>
      </c>
      <c r="J160" s="2">
        <f t="shared" si="46"/>
        <v>10.690037574693878</v>
      </c>
      <c r="K160" s="23">
        <f t="shared" si="47"/>
        <v>24.479151964310166</v>
      </c>
      <c r="Q160" t="str">
        <f t="shared" si="48"/>
        <v>Moringa|39</v>
      </c>
      <c r="Y160">
        <f>Y159*(1-AB2) + MAX(0,J159-J160)</f>
        <v>3.5144993485035108</v>
      </c>
      <c r="Z160">
        <f t="shared" si="49"/>
        <v>14.20453692319739</v>
      </c>
    </row>
    <row r="161" spans="1:26" ht="16" customHeight="1" x14ac:dyDescent="0.2">
      <c r="A161" s="15" t="s">
        <v>17</v>
      </c>
      <c r="B161" s="2">
        <v>40</v>
      </c>
      <c r="C161" s="2">
        <f t="shared" si="40"/>
        <v>79</v>
      </c>
      <c r="D161" s="2">
        <f t="shared" si="41"/>
        <v>0.26013833185932705</v>
      </c>
      <c r="E161" s="2">
        <f t="shared" si="42"/>
        <v>20.550928216886838</v>
      </c>
      <c r="F161" s="2">
        <f>IFERROR(INDEX('3_GrowthInputs'!$F$2:$F$201, MATCH(Q161, '3_GrowthInputs'!$G$2:$G$201, 0)), NA())</f>
        <v>391.5358927685852</v>
      </c>
      <c r="G161" s="2">
        <f t="shared" si="43"/>
        <v>8.0464260266218979</v>
      </c>
      <c r="H161" s="2">
        <f t="shared" si="44"/>
        <v>0.2893434278366297</v>
      </c>
      <c r="I161" s="2">
        <f t="shared" si="45"/>
        <v>2.3281804883766521</v>
      </c>
      <c r="J161" s="2">
        <f t="shared" si="46"/>
        <v>10.37460651499855</v>
      </c>
      <c r="K161" s="23">
        <f t="shared" si="47"/>
        <v>23.873486576584725</v>
      </c>
      <c r="Q161" t="str">
        <f t="shared" si="48"/>
        <v>Moringa|40</v>
      </c>
      <c r="Y161">
        <f>Y160*(1-AB2) + MAX(0,J160-J161)</f>
        <v>3.4784804733484878</v>
      </c>
      <c r="Z161">
        <f t="shared" si="49"/>
        <v>13.853086988347037</v>
      </c>
    </row>
    <row r="162" spans="1:26" ht="16" customHeight="1" x14ac:dyDescent="0.2">
      <c r="A162" s="15" t="s">
        <v>19</v>
      </c>
      <c r="B162" s="2">
        <v>1</v>
      </c>
      <c r="C162" s="2">
        <f t="shared" ref="C162:C193" si="50">INDEX($N$2:$N$6, MATCH(A162, $M$2:$M$6, 0))</f>
        <v>79</v>
      </c>
      <c r="D162" s="2">
        <f t="shared" ref="D162:D193" si="51">IF(B162=1,INDEX($T$2:$T$6, MATCH(A162, $S$2:$S$6, 0)),INDEX($T$2:$T$6, MATCH(A162, $S$2:$S$6, 0))*POWER(INDEX($U$2:$U$6, MATCH(A162, $S$2:$S$6, 0)),MIN(B162-1,2))*POWER(INDEX($V$2:$V$6, MATCH(A162, $S$2:$S$6, 0)),MAX(MIN(B162-3,17),0))*POWER(INDEX($W$2:$W$6, MATCH(A162, $S$2:$S$6, 0)),MAX(B162-20,0)))</f>
        <v>0.75</v>
      </c>
      <c r="E162" s="2">
        <f t="shared" ref="E162:E193" si="52">C162*D162</f>
        <v>59.25</v>
      </c>
      <c r="F162" s="2">
        <f>IFERROR(INDEX('3_GrowthInputs'!$F$2:$F$201, MATCH(Q162, '3_GrowthInputs'!$G$2:$G$201, 0)), NA())</f>
        <v>4.0412188029912276E-2</v>
      </c>
      <c r="G162" s="2">
        <f t="shared" ref="G162:G193" si="53">IF(OR(ISNA(E162),ISNA(F162)),NA(),E162*F162/1000)</f>
        <v>2.3944221407723025E-3</v>
      </c>
      <c r="H162" s="2">
        <f t="shared" ref="H162:H193" si="54">IF(ISNA(G162),NA(),IF(G162&gt;0,EXP(-1.085+0.9256*LN(G162))/G162,0))</f>
        <v>0.52939270638425362</v>
      </c>
      <c r="I162" s="2">
        <f t="shared" ref="I162:I193" si="55">IF(OR(ISNA(G162),ISNA(H162)),NA(),G162*H162)</f>
        <v>1.2675896173298274E-3</v>
      </c>
      <c r="J162" s="2">
        <f t="shared" ref="J162:J193" si="56">IF(OR(ISNA(G162),ISNA(I162)),NA(),G162+I162)</f>
        <v>3.6620117581021299E-3</v>
      </c>
      <c r="K162" s="23">
        <f t="shared" ref="K162:K193" si="57">Z162*0.47*(44/12)</f>
        <v>6.3108669297960033E-3</v>
      </c>
      <c r="Q162" t="str">
        <f t="shared" ref="Q162:Q193" si="58">A162&amp;"|"&amp;B162</f>
        <v>Shea|1</v>
      </c>
      <c r="Y162">
        <v>0</v>
      </c>
      <c r="Z162">
        <f t="shared" ref="Z162:Z193" si="59">J162+Y162</f>
        <v>3.6620117581021299E-3</v>
      </c>
    </row>
    <row r="163" spans="1:26" ht="16" customHeight="1" x14ac:dyDescent="0.2">
      <c r="A163" s="15" t="s">
        <v>19</v>
      </c>
      <c r="B163" s="2">
        <v>2</v>
      </c>
      <c r="C163" s="2">
        <f t="shared" si="50"/>
        <v>79</v>
      </c>
      <c r="D163" s="2">
        <f t="shared" si="51"/>
        <v>0.72</v>
      </c>
      <c r="E163" s="2">
        <f t="shared" si="52"/>
        <v>56.879999999999995</v>
      </c>
      <c r="F163" s="2">
        <f>IFERROR(INDEX('3_GrowthInputs'!$F$2:$F$201, MATCH(Q163, '3_GrowthInputs'!$G$2:$G$201, 0)), NA())</f>
        <v>0.21777862651403024</v>
      </c>
      <c r="G163" s="2">
        <f t="shared" si="53"/>
        <v>1.2387248276118038E-2</v>
      </c>
      <c r="H163" s="2">
        <f t="shared" si="54"/>
        <v>0.46846069553335806</v>
      </c>
      <c r="I163" s="2">
        <f t="shared" si="55"/>
        <v>5.8029389431746466E-3</v>
      </c>
      <c r="J163" s="2">
        <f t="shared" si="56"/>
        <v>1.8190187219292685E-2</v>
      </c>
      <c r="K163" s="23">
        <f t="shared" si="57"/>
        <v>3.1347755974581053E-2</v>
      </c>
      <c r="Q163" t="str">
        <f t="shared" si="58"/>
        <v>Shea|2</v>
      </c>
      <c r="Y163">
        <f>Y162*(1-AB2) + MAX(0,J162-J163)</f>
        <v>0</v>
      </c>
      <c r="Z163">
        <f t="shared" si="59"/>
        <v>1.8190187219292685E-2</v>
      </c>
    </row>
    <row r="164" spans="1:26" ht="16" customHeight="1" x14ac:dyDescent="0.2">
      <c r="A164" s="15" t="s">
        <v>19</v>
      </c>
      <c r="B164" s="2">
        <v>3</v>
      </c>
      <c r="C164" s="2">
        <f t="shared" si="50"/>
        <v>79</v>
      </c>
      <c r="D164" s="2">
        <f t="shared" si="51"/>
        <v>0.69120000000000004</v>
      </c>
      <c r="E164" s="2">
        <f t="shared" si="52"/>
        <v>54.604800000000004</v>
      </c>
      <c r="F164" s="2">
        <f>IFERROR(INDEX('3_GrowthInputs'!$F$2:$F$201, MATCH(Q164, '3_GrowthInputs'!$G$2:$G$201, 0)), NA())</f>
        <v>0.73083348521170255</v>
      </c>
      <c r="G164" s="2">
        <f t="shared" si="53"/>
        <v>3.9907016293287981E-2</v>
      </c>
      <c r="H164" s="2">
        <f t="shared" si="54"/>
        <v>0.42941026533033039</v>
      </c>
      <c r="I164" s="2">
        <f t="shared" si="55"/>
        <v>1.7136482455042609E-2</v>
      </c>
      <c r="J164" s="2">
        <f t="shared" si="56"/>
        <v>5.704349874833059E-2</v>
      </c>
      <c r="K164" s="23">
        <f t="shared" si="57"/>
        <v>9.8304962842956381E-2</v>
      </c>
      <c r="Q164" t="str">
        <f t="shared" si="58"/>
        <v>Shea|3</v>
      </c>
      <c r="Y164">
        <f>Y163*(1-AB2) + MAX(0,J163-J164)</f>
        <v>0</v>
      </c>
      <c r="Z164">
        <f t="shared" si="59"/>
        <v>5.704349874833059E-2</v>
      </c>
    </row>
    <row r="165" spans="1:26" ht="16" customHeight="1" x14ac:dyDescent="0.2">
      <c r="A165" s="15" t="s">
        <v>19</v>
      </c>
      <c r="B165" s="2">
        <v>4</v>
      </c>
      <c r="C165" s="2">
        <f t="shared" si="50"/>
        <v>79</v>
      </c>
      <c r="D165" s="2">
        <f t="shared" si="51"/>
        <v>0.68774400000000002</v>
      </c>
      <c r="E165" s="2">
        <f t="shared" si="52"/>
        <v>54.331776000000005</v>
      </c>
      <c r="F165" s="2">
        <f>IFERROR(INDEX('3_GrowthInputs'!$F$2:$F$201, MATCH(Q165, '3_GrowthInputs'!$G$2:$G$201, 0)), NA())</f>
        <v>1.7568518666675101</v>
      </c>
      <c r="G165" s="2">
        <f t="shared" si="53"/>
        <v>9.5452882084961027E-2</v>
      </c>
      <c r="H165" s="2">
        <f t="shared" si="54"/>
        <v>0.40243355221003058</v>
      </c>
      <c r="I165" s="2">
        <f t="shared" si="55"/>
        <v>3.8413442406136054E-2</v>
      </c>
      <c r="J165" s="2">
        <f t="shared" si="56"/>
        <v>0.13386632449109709</v>
      </c>
      <c r="K165" s="23">
        <f t="shared" si="57"/>
        <v>0.23069629920632398</v>
      </c>
      <c r="Q165" t="str">
        <f t="shared" si="58"/>
        <v>Shea|4</v>
      </c>
      <c r="Y165">
        <f>Y164*(1-AB2) + MAX(0,J164-J165)</f>
        <v>0</v>
      </c>
      <c r="Z165">
        <f t="shared" si="59"/>
        <v>0.13386632449109709</v>
      </c>
    </row>
    <row r="166" spans="1:26" ht="16" customHeight="1" x14ac:dyDescent="0.2">
      <c r="A166" s="15" t="s">
        <v>19</v>
      </c>
      <c r="B166" s="2">
        <v>5</v>
      </c>
      <c r="C166" s="2">
        <f t="shared" si="50"/>
        <v>79</v>
      </c>
      <c r="D166" s="2">
        <f t="shared" si="51"/>
        <v>0.68430528000000002</v>
      </c>
      <c r="E166" s="2">
        <f t="shared" si="52"/>
        <v>54.060117120000001</v>
      </c>
      <c r="F166" s="2">
        <f>IFERROR(INDEX('3_GrowthInputs'!$F$2:$F$201, MATCH(Q166, '3_GrowthInputs'!$G$2:$G$201, 0)), NA())</f>
        <v>3.4735582679705987</v>
      </c>
      <c r="G166" s="2">
        <f t="shared" si="53"/>
        <v>0.18778096678963491</v>
      </c>
      <c r="H166" s="2">
        <f t="shared" si="54"/>
        <v>0.38267563389712228</v>
      </c>
      <c r="I166" s="2">
        <f t="shared" si="55"/>
        <v>7.1859200500038009E-2</v>
      </c>
      <c r="J166" s="2">
        <f t="shared" si="56"/>
        <v>0.25964016728967293</v>
      </c>
      <c r="K166" s="23">
        <f t="shared" si="57"/>
        <v>0.44744655496253632</v>
      </c>
      <c r="Q166" t="str">
        <f t="shared" si="58"/>
        <v>Shea|5</v>
      </c>
      <c r="Y166">
        <f>Y165*(1-AB2) + MAX(0,J165-J166)</f>
        <v>0</v>
      </c>
      <c r="Z166">
        <f t="shared" si="59"/>
        <v>0.25964016728967293</v>
      </c>
    </row>
    <row r="167" spans="1:26" ht="16" customHeight="1" x14ac:dyDescent="0.2">
      <c r="A167" s="15" t="s">
        <v>19</v>
      </c>
      <c r="B167" s="2">
        <v>6</v>
      </c>
      <c r="C167" s="2">
        <f t="shared" si="50"/>
        <v>79</v>
      </c>
      <c r="D167" s="2">
        <f t="shared" si="51"/>
        <v>0.68088375360000009</v>
      </c>
      <c r="E167" s="2">
        <f t="shared" si="52"/>
        <v>53.789816534400003</v>
      </c>
      <c r="F167" s="2">
        <f>IFERROR(INDEX('3_GrowthInputs'!$F$2:$F$201, MATCH(Q167, '3_GrowthInputs'!$G$2:$G$201, 0)), NA())</f>
        <v>6.0563043930992286</v>
      </c>
      <c r="G167" s="2">
        <f t="shared" si="53"/>
        <v>0.32576750218128825</v>
      </c>
      <c r="H167" s="2">
        <f t="shared" si="54"/>
        <v>0.36730779915508083</v>
      </c>
      <c r="I167" s="2">
        <f t="shared" si="55"/>
        <v>0.11965694426245697</v>
      </c>
      <c r="J167" s="2">
        <f t="shared" si="56"/>
        <v>0.44542444644374524</v>
      </c>
      <c r="K167" s="23">
        <f t="shared" si="57"/>
        <v>0.76761479603805416</v>
      </c>
      <c r="Q167" t="str">
        <f t="shared" si="58"/>
        <v>Shea|6</v>
      </c>
      <c r="Y167">
        <f>Y166*(1-AB2) + MAX(0,J166-J167)</f>
        <v>0</v>
      </c>
      <c r="Z167">
        <f t="shared" si="59"/>
        <v>0.44542444644374524</v>
      </c>
    </row>
    <row r="168" spans="1:26" ht="16" customHeight="1" x14ac:dyDescent="0.2">
      <c r="A168" s="15" t="s">
        <v>19</v>
      </c>
      <c r="B168" s="2">
        <v>7</v>
      </c>
      <c r="C168" s="2">
        <f t="shared" si="50"/>
        <v>79</v>
      </c>
      <c r="D168" s="2">
        <f t="shared" si="51"/>
        <v>0.67747933483200007</v>
      </c>
      <c r="E168" s="2">
        <f t="shared" si="52"/>
        <v>53.520867451728009</v>
      </c>
      <c r="F168" s="2">
        <f>IFERROR(INDEX('3_GrowthInputs'!$F$2:$F$201, MATCH(Q168, '3_GrowthInputs'!$G$2:$G$201, 0)), NA())</f>
        <v>9.6772733038689775</v>
      </c>
      <c r="G168" s="2">
        <f t="shared" si="53"/>
        <v>0.51793606179051754</v>
      </c>
      <c r="H168" s="2">
        <f t="shared" si="54"/>
        <v>0.35485288590500869</v>
      </c>
      <c r="I168" s="2">
        <f t="shared" si="55"/>
        <v>0.18379110624064005</v>
      </c>
      <c r="J168" s="2">
        <f t="shared" si="56"/>
        <v>0.70172716803115764</v>
      </c>
      <c r="K168" s="23">
        <f t="shared" si="57"/>
        <v>1.2093098195736949</v>
      </c>
      <c r="Q168" t="str">
        <f t="shared" si="58"/>
        <v>Shea|7</v>
      </c>
      <c r="Y168">
        <f>Y167*(1-AB2) + MAX(0,J167-J168)</f>
        <v>0</v>
      </c>
      <c r="Z168">
        <f t="shared" si="59"/>
        <v>0.70172716803115764</v>
      </c>
    </row>
    <row r="169" spans="1:26" ht="16" customHeight="1" x14ac:dyDescent="0.2">
      <c r="A169" s="15" t="s">
        <v>19</v>
      </c>
      <c r="B169" s="2">
        <v>8</v>
      </c>
      <c r="C169" s="2">
        <f t="shared" si="50"/>
        <v>79</v>
      </c>
      <c r="D169" s="2">
        <f t="shared" si="51"/>
        <v>0.67409193815784008</v>
      </c>
      <c r="E169" s="2">
        <f t="shared" si="52"/>
        <v>53.253263114469362</v>
      </c>
      <c r="F169" s="2">
        <f>IFERROR(INDEX('3_GrowthInputs'!$F$2:$F$201, MATCH(Q169, '3_GrowthInputs'!$G$2:$G$201, 0)), NA())</f>
        <v>14.50685675854346</v>
      </c>
      <c r="G169" s="2">
        <f t="shared" si="53"/>
        <v>0.77253745992663303</v>
      </c>
      <c r="H169" s="2">
        <f t="shared" si="54"/>
        <v>0.3444524457907378</v>
      </c>
      <c r="I169" s="2">
        <f t="shared" si="55"/>
        <v>0.26610241753669284</v>
      </c>
      <c r="J169" s="2">
        <f t="shared" si="56"/>
        <v>1.0386398774633259</v>
      </c>
      <c r="K169" s="23">
        <f t="shared" si="57"/>
        <v>1.7899227221617982</v>
      </c>
      <c r="Q169" t="str">
        <f t="shared" si="58"/>
        <v>Shea|8</v>
      </c>
      <c r="Y169">
        <f>Y168*(1-AB2) + MAX(0,J168-J169)</f>
        <v>0</v>
      </c>
      <c r="Z169">
        <f t="shared" si="59"/>
        <v>1.0386398774633259</v>
      </c>
    </row>
    <row r="170" spans="1:26" ht="16" customHeight="1" x14ac:dyDescent="0.2">
      <c r="A170" s="15" t="s">
        <v>19</v>
      </c>
      <c r="B170" s="2">
        <v>9</v>
      </c>
      <c r="C170" s="2">
        <f t="shared" si="50"/>
        <v>79</v>
      </c>
      <c r="D170" s="2">
        <f t="shared" si="51"/>
        <v>0.67072147846705088</v>
      </c>
      <c r="E170" s="2">
        <f t="shared" si="52"/>
        <v>52.986996798897017</v>
      </c>
      <c r="F170" s="2">
        <f>IFERROR(INDEX('3_GrowthInputs'!$F$2:$F$201, MATCH(Q170, '3_GrowthInputs'!$G$2:$G$201, 0)), NA())</f>
        <v>20.712483777774327</v>
      </c>
      <c r="G170" s="2">
        <f t="shared" si="53"/>
        <v>1.0974923116301347</v>
      </c>
      <c r="H170" s="2">
        <f t="shared" si="54"/>
        <v>0.33557115023193168</v>
      </c>
      <c r="I170" s="2">
        <f t="shared" si="55"/>
        <v>0.3682867573844259</v>
      </c>
      <c r="J170" s="2">
        <f t="shared" si="56"/>
        <v>1.4657790690145607</v>
      </c>
      <c r="K170" s="23">
        <f t="shared" si="57"/>
        <v>2.5260259289350926</v>
      </c>
      <c r="Q170" t="str">
        <f t="shared" si="58"/>
        <v>Shea|9</v>
      </c>
      <c r="Y170">
        <f>Y169*(1-AB2) + MAX(0,J169-J170)</f>
        <v>0</v>
      </c>
      <c r="Z170">
        <f t="shared" si="59"/>
        <v>1.4657790690145607</v>
      </c>
    </row>
    <row r="171" spans="1:26" ht="16" customHeight="1" x14ac:dyDescent="0.2">
      <c r="A171" s="15" t="s">
        <v>19</v>
      </c>
      <c r="B171" s="2">
        <v>10</v>
      </c>
      <c r="C171" s="2">
        <f t="shared" si="50"/>
        <v>79</v>
      </c>
      <c r="D171" s="2">
        <f t="shared" si="51"/>
        <v>0.66736787107471562</v>
      </c>
      <c r="E171" s="2">
        <f t="shared" si="52"/>
        <v>52.722061814902531</v>
      </c>
      <c r="F171" s="2">
        <f>IFERROR(INDEX('3_GrowthInputs'!$F$2:$F$201, MATCH(Q171, '3_GrowthInputs'!$G$2:$G$201, 0)), NA())</f>
        <v>28.460945185543927</v>
      </c>
      <c r="G171" s="2">
        <f t="shared" si="53"/>
        <v>1.5005197113827997</v>
      </c>
      <c r="H171" s="2">
        <f t="shared" si="54"/>
        <v>0.32785220152318906</v>
      </c>
      <c r="I171" s="2">
        <f t="shared" si="55"/>
        <v>0.49194869080579112</v>
      </c>
      <c r="J171" s="2">
        <f t="shared" si="56"/>
        <v>1.9924684021885908</v>
      </c>
      <c r="K171" s="23">
        <f t="shared" si="57"/>
        <v>3.4336872131050042</v>
      </c>
      <c r="Q171" t="str">
        <f t="shared" si="58"/>
        <v>Shea|10</v>
      </c>
      <c r="Y171">
        <f>Y170*(1-AB2) + MAX(0,J170-J171)</f>
        <v>0</v>
      </c>
      <c r="Z171">
        <f t="shared" si="59"/>
        <v>1.9924684021885908</v>
      </c>
    </row>
    <row r="172" spans="1:26" ht="16" customHeight="1" x14ac:dyDescent="0.2">
      <c r="A172" s="15" t="s">
        <v>19</v>
      </c>
      <c r="B172" s="2">
        <v>11</v>
      </c>
      <c r="C172" s="2">
        <f t="shared" si="50"/>
        <v>79</v>
      </c>
      <c r="D172" s="2">
        <f t="shared" si="51"/>
        <v>0.66403103171934208</v>
      </c>
      <c r="E172" s="2">
        <f t="shared" si="52"/>
        <v>52.458451505828023</v>
      </c>
      <c r="F172" s="2">
        <f>IFERROR(INDEX('3_GrowthInputs'!$F$2:$F$201, MATCH(Q172, '3_GrowthInputs'!$G$2:$G$201, 0)), NA())</f>
        <v>37.916784260147622</v>
      </c>
      <c r="G172" s="2">
        <f t="shared" si="53"/>
        <v>1.9890557883678974</v>
      </c>
      <c r="H172" s="2">
        <f t="shared" si="54"/>
        <v>0.32104887542037858</v>
      </c>
      <c r="I172" s="2">
        <f t="shared" si="55"/>
        <v>0.63858412400390796</v>
      </c>
      <c r="J172" s="2">
        <f t="shared" si="56"/>
        <v>2.6276399123718055</v>
      </c>
      <c r="K172" s="23">
        <f t="shared" si="57"/>
        <v>4.5282994489874113</v>
      </c>
      <c r="Q172" t="str">
        <f t="shared" si="58"/>
        <v>Shea|11</v>
      </c>
      <c r="Y172">
        <f>Y171*(1-AB2) + MAX(0,J171-J172)</f>
        <v>0</v>
      </c>
      <c r="Z172">
        <f t="shared" si="59"/>
        <v>2.6276399123718055</v>
      </c>
    </row>
    <row r="173" spans="1:26" ht="16" customHeight="1" x14ac:dyDescent="0.2">
      <c r="A173" s="15" t="s">
        <v>19</v>
      </c>
      <c r="B173" s="2">
        <v>12</v>
      </c>
      <c r="C173" s="2">
        <f t="shared" si="50"/>
        <v>79</v>
      </c>
      <c r="D173" s="2">
        <f t="shared" si="51"/>
        <v>0.66071087656074534</v>
      </c>
      <c r="E173" s="2">
        <f t="shared" si="52"/>
        <v>52.196159248298883</v>
      </c>
      <c r="F173" s="2">
        <f>IFERROR(INDEX('3_GrowthInputs'!$F$2:$F$201, MATCH(Q173, '3_GrowthInputs'!$G$2:$G$201, 0)), NA())</f>
        <v>49.242584773108874</v>
      </c>
      <c r="G173" s="2">
        <f t="shared" si="53"/>
        <v>2.5702737966150484</v>
      </c>
      <c r="H173" s="2">
        <f t="shared" si="54"/>
        <v>0.31498365679003937</v>
      </c>
      <c r="I173" s="2">
        <f t="shared" si="55"/>
        <v>0.80959423940942588</v>
      </c>
      <c r="J173" s="2">
        <f t="shared" si="56"/>
        <v>3.3798680360244742</v>
      </c>
      <c r="K173" s="23">
        <f t="shared" si="57"/>
        <v>5.8246392487488432</v>
      </c>
      <c r="Q173" t="str">
        <f t="shared" si="58"/>
        <v>Shea|12</v>
      </c>
      <c r="Y173">
        <f>Y172*(1-AB2) + MAX(0,J172-J173)</f>
        <v>0</v>
      </c>
      <c r="Z173">
        <f t="shared" si="59"/>
        <v>3.3798680360244742</v>
      </c>
    </row>
    <row r="174" spans="1:26" ht="16" customHeight="1" x14ac:dyDescent="0.2">
      <c r="A174" s="15" t="s">
        <v>19</v>
      </c>
      <c r="B174" s="2">
        <v>13</v>
      </c>
      <c r="C174" s="2">
        <f t="shared" si="50"/>
        <v>79</v>
      </c>
      <c r="D174" s="2">
        <f t="shared" si="51"/>
        <v>0.65740732217794162</v>
      </c>
      <c r="E174" s="2">
        <f t="shared" si="52"/>
        <v>51.935178452057386</v>
      </c>
      <c r="F174" s="2">
        <f>IFERROR(INDEX('3_GrowthInputs'!$F$2:$F$201, MATCH(Q174, '3_GrowthInputs'!$G$2:$G$201, 0)), NA())</f>
        <v>62.601197748260397</v>
      </c>
      <c r="G174" s="2">
        <f t="shared" si="53"/>
        <v>3.2512043763684368</v>
      </c>
      <c r="H174" s="2">
        <f t="shared" si="54"/>
        <v>0.3095240457669981</v>
      </c>
      <c r="I174" s="2">
        <f t="shared" si="55"/>
        <v>1.0063259321889286</v>
      </c>
      <c r="J174" s="2">
        <f t="shared" si="56"/>
        <v>4.2575303085573655</v>
      </c>
      <c r="K174" s="23">
        <f t="shared" si="57"/>
        <v>7.3371438984138599</v>
      </c>
      <c r="Q174" t="str">
        <f t="shared" si="58"/>
        <v>Shea|13</v>
      </c>
      <c r="Y174">
        <f>Y173*(1-AB2) + MAX(0,J173-J174)</f>
        <v>0</v>
      </c>
      <c r="Z174">
        <f t="shared" si="59"/>
        <v>4.2575303085573655</v>
      </c>
    </row>
    <row r="175" spans="1:26" ht="16" customHeight="1" x14ac:dyDescent="0.2">
      <c r="A175" s="15" t="s">
        <v>19</v>
      </c>
      <c r="B175" s="2">
        <v>14</v>
      </c>
      <c r="C175" s="2">
        <f t="shared" si="50"/>
        <v>79</v>
      </c>
      <c r="D175" s="2">
        <f t="shared" si="51"/>
        <v>0.65412028556705193</v>
      </c>
      <c r="E175" s="2">
        <f t="shared" si="52"/>
        <v>51.675502559797103</v>
      </c>
      <c r="F175" s="2">
        <f>IFERROR(INDEX('3_GrowthInputs'!$F$2:$F$201, MATCH(Q175, '3_GrowthInputs'!$G$2:$G$201, 0)), NA())</f>
        <v>78.152557452971962</v>
      </c>
      <c r="G175" s="2">
        <f t="shared" si="53"/>
        <v>4.0385726827157429</v>
      </c>
      <c r="H175" s="2">
        <f t="shared" si="54"/>
        <v>0.30457000548371344</v>
      </c>
      <c r="I175" s="2">
        <f t="shared" si="55"/>
        <v>1.2300281041211092</v>
      </c>
      <c r="J175" s="2">
        <f t="shared" si="56"/>
        <v>5.2686007868368518</v>
      </c>
      <c r="K175" s="23">
        <f t="shared" si="57"/>
        <v>9.0795553559821727</v>
      </c>
      <c r="Q175" t="str">
        <f t="shared" si="58"/>
        <v>Shea|14</v>
      </c>
      <c r="Y175">
        <f>Y174*(1-AB2) + MAX(0,J174-J175)</f>
        <v>0</v>
      </c>
      <c r="Z175">
        <f t="shared" si="59"/>
        <v>5.2686007868368518</v>
      </c>
    </row>
    <row r="176" spans="1:26" ht="16" customHeight="1" x14ac:dyDescent="0.2">
      <c r="A176" s="15" t="s">
        <v>19</v>
      </c>
      <c r="B176" s="2">
        <v>15</v>
      </c>
      <c r="C176" s="2">
        <f t="shared" si="50"/>
        <v>79</v>
      </c>
      <c r="D176" s="2">
        <f t="shared" si="51"/>
        <v>0.65084968413921673</v>
      </c>
      <c r="E176" s="2">
        <f t="shared" si="52"/>
        <v>51.417125046998123</v>
      </c>
      <c r="F176" s="2">
        <f>IFERROR(INDEX('3_GrowthInputs'!$F$2:$F$201, MATCH(Q176, '3_GrowthInputs'!$G$2:$G$201, 0)), NA())</f>
        <v>96.055781621151937</v>
      </c>
      <c r="G176" s="2">
        <f t="shared" si="53"/>
        <v>4.938912135101913</v>
      </c>
      <c r="H176" s="2">
        <f t="shared" si="54"/>
        <v>0.30004356602114951</v>
      </c>
      <c r="I176" s="2">
        <f t="shared" si="55"/>
        <v>1.4818888092811073</v>
      </c>
      <c r="J176" s="2">
        <f t="shared" si="56"/>
        <v>6.4208009443830205</v>
      </c>
      <c r="K176" s="23">
        <f t="shared" si="57"/>
        <v>11.065180294153404</v>
      </c>
      <c r="Q176" t="str">
        <f t="shared" si="58"/>
        <v>Shea|15</v>
      </c>
      <c r="Y176">
        <f>Y175*(1-AB2) + MAX(0,J175-J176)</f>
        <v>0</v>
      </c>
      <c r="Z176">
        <f t="shared" si="59"/>
        <v>6.4208009443830205</v>
      </c>
    </row>
    <row r="177" spans="1:26" ht="16" customHeight="1" x14ac:dyDescent="0.2">
      <c r="A177" s="15" t="s">
        <v>19</v>
      </c>
      <c r="B177" s="2">
        <v>16</v>
      </c>
      <c r="C177" s="2">
        <f t="shared" si="50"/>
        <v>79</v>
      </c>
      <c r="D177" s="2">
        <f t="shared" si="51"/>
        <v>0.64759543571852063</v>
      </c>
      <c r="E177" s="2">
        <f t="shared" si="52"/>
        <v>51.16003942176313</v>
      </c>
      <c r="F177" s="2">
        <f>IFERROR(INDEX('3_GrowthInputs'!$F$2:$F$201, MATCH(Q177, '3_GrowthInputs'!$G$2:$G$201, 0)), NA())</f>
        <v>116.4703510270182</v>
      </c>
      <c r="G177" s="2">
        <f t="shared" si="53"/>
        <v>5.9586277500088407</v>
      </c>
      <c r="H177" s="2">
        <f t="shared" si="54"/>
        <v>0.29588272226925433</v>
      </c>
      <c r="I177" s="2">
        <f t="shared" si="55"/>
        <v>1.7630549996617377</v>
      </c>
      <c r="J177" s="2">
        <f t="shared" si="56"/>
        <v>7.7216827496705784</v>
      </c>
      <c r="K177" s="23">
        <f t="shared" si="57"/>
        <v>13.307033271932294</v>
      </c>
      <c r="Q177" t="str">
        <f t="shared" si="58"/>
        <v>Shea|16</v>
      </c>
      <c r="Y177">
        <f>Y176*(1-AB2) + MAX(0,J176-J177)</f>
        <v>0</v>
      </c>
      <c r="Z177">
        <f t="shared" si="59"/>
        <v>7.7216827496705784</v>
      </c>
    </row>
    <row r="178" spans="1:26" ht="16" customHeight="1" x14ac:dyDescent="0.2">
      <c r="A178" s="15" t="s">
        <v>19</v>
      </c>
      <c r="B178" s="2">
        <v>17</v>
      </c>
      <c r="C178" s="2">
        <f t="shared" si="50"/>
        <v>79</v>
      </c>
      <c r="D178" s="2">
        <f t="shared" si="51"/>
        <v>0.6443574585399281</v>
      </c>
      <c r="E178" s="2">
        <f t="shared" si="52"/>
        <v>50.904239224654319</v>
      </c>
      <c r="F178" s="2">
        <f>IFERROR(INDEX('3_GrowthInputs'!$F$2:$F$201, MATCH(Q178, '3_GrowthInputs'!$G$2:$G$201, 0)), NA())</f>
        <v>139.55441174665228</v>
      </c>
      <c r="G178" s="2">
        <f t="shared" si="53"/>
        <v>7.1039111604074963</v>
      </c>
      <c r="H178" s="2">
        <f t="shared" si="54"/>
        <v>0.29203780228794024</v>
      </c>
      <c r="I178" s="2">
        <f t="shared" si="55"/>
        <v>2.0746106029341767</v>
      </c>
      <c r="J178" s="2">
        <f t="shared" si="56"/>
        <v>9.1785217633416725</v>
      </c>
      <c r="K178" s="23">
        <f t="shared" si="57"/>
        <v>15.817652505492147</v>
      </c>
      <c r="Q178" t="str">
        <f t="shared" si="58"/>
        <v>Shea|17</v>
      </c>
      <c r="Y178">
        <f>Y177*(1-AB2) + MAX(0,J177-J178)</f>
        <v>0</v>
      </c>
      <c r="Z178">
        <f t="shared" si="59"/>
        <v>9.1785217633416725</v>
      </c>
    </row>
    <row r="179" spans="1:26" ht="16" customHeight="1" x14ac:dyDescent="0.2">
      <c r="A179" s="15" t="s">
        <v>19</v>
      </c>
      <c r="B179" s="2">
        <v>18</v>
      </c>
      <c r="C179" s="2">
        <f t="shared" si="50"/>
        <v>79</v>
      </c>
      <c r="D179" s="2">
        <f t="shared" si="51"/>
        <v>0.64113567124722837</v>
      </c>
      <c r="E179" s="2">
        <f t="shared" si="52"/>
        <v>50.649718028531041</v>
      </c>
      <c r="F179" s="2">
        <f>IFERROR(INDEX('3_GrowthInputs'!$F$2:$F$201, MATCH(Q179, '3_GrowthInputs'!$G$2:$G$201, 0)), NA())</f>
        <v>165.46314290278696</v>
      </c>
      <c r="G179" s="2">
        <f t="shared" si="53"/>
        <v>8.3806615321406976</v>
      </c>
      <c r="H179" s="2">
        <f t="shared" si="54"/>
        <v>0.28846862304969728</v>
      </c>
      <c r="I179" s="2">
        <f t="shared" si="55"/>
        <v>2.4175578924221934</v>
      </c>
      <c r="J179" s="2">
        <f t="shared" si="56"/>
        <v>10.798219424562891</v>
      </c>
      <c r="K179" s="23">
        <f t="shared" si="57"/>
        <v>18.608931474996716</v>
      </c>
      <c r="Q179" t="str">
        <f t="shared" si="58"/>
        <v>Shea|18</v>
      </c>
      <c r="Y179">
        <f>Y178*(1-AB2) + MAX(0,J178-J179)</f>
        <v>0</v>
      </c>
      <c r="Z179">
        <f t="shared" si="59"/>
        <v>10.798219424562891</v>
      </c>
    </row>
    <row r="180" spans="1:26" ht="16" customHeight="1" x14ac:dyDescent="0.2">
      <c r="A180" s="15" t="s">
        <v>19</v>
      </c>
      <c r="B180" s="2">
        <v>19</v>
      </c>
      <c r="C180" s="2">
        <f t="shared" si="50"/>
        <v>79</v>
      </c>
      <c r="D180" s="2">
        <f t="shared" si="51"/>
        <v>0.63792999289099217</v>
      </c>
      <c r="E180" s="2">
        <f t="shared" si="52"/>
        <v>50.39646943838838</v>
      </c>
      <c r="F180" s="2">
        <f>IFERROR(INDEX('3_GrowthInputs'!$F$2:$F$201, MATCH(Q180, '3_GrowthInputs'!$G$2:$G$201, 0)), NA())</f>
        <v>194.35201509166257</v>
      </c>
      <c r="G180" s="2">
        <f t="shared" si="53"/>
        <v>9.7946553888561709</v>
      </c>
      <c r="H180" s="2">
        <f t="shared" si="54"/>
        <v>0.2851418044416324</v>
      </c>
      <c r="I180" s="2">
        <f t="shared" si="55"/>
        <v>2.7928657114624071</v>
      </c>
      <c r="J180" s="2">
        <f t="shared" si="56"/>
        <v>12.587521100318579</v>
      </c>
      <c r="K180" s="23">
        <f t="shared" si="57"/>
        <v>21.692494696215682</v>
      </c>
      <c r="Q180" t="str">
        <f t="shared" si="58"/>
        <v>Shea|19</v>
      </c>
      <c r="Y180">
        <f>Y179*(1-AB2) + MAX(0,J179-J180)</f>
        <v>0</v>
      </c>
      <c r="Z180">
        <f t="shared" si="59"/>
        <v>12.587521100318579</v>
      </c>
    </row>
    <row r="181" spans="1:26" ht="16" customHeight="1" x14ac:dyDescent="0.2">
      <c r="A181" s="15" t="s">
        <v>19</v>
      </c>
      <c r="B181" s="2">
        <v>20</v>
      </c>
      <c r="C181" s="2">
        <f t="shared" si="50"/>
        <v>79</v>
      </c>
      <c r="D181" s="2">
        <f t="shared" si="51"/>
        <v>0.63474034292653725</v>
      </c>
      <c r="E181" s="2">
        <f t="shared" si="52"/>
        <v>50.144487091196446</v>
      </c>
      <c r="F181" s="2">
        <f>IFERROR(INDEX('3_GrowthInputs'!$F$2:$F$201, MATCH(Q181, '3_GrowthInputs'!$G$2:$G$201, 0)), NA())</f>
        <v>226.37797892780631</v>
      </c>
      <c r="G181" s="2">
        <f t="shared" si="53"/>
        <v>11.351607642076523</v>
      </c>
      <c r="H181" s="2">
        <f t="shared" si="54"/>
        <v>0.28202929298596624</v>
      </c>
      <c r="I181" s="2">
        <f t="shared" si="55"/>
        <v>3.201485877548933</v>
      </c>
      <c r="J181" s="2">
        <f t="shared" si="56"/>
        <v>14.553093519625456</v>
      </c>
      <c r="K181" s="23">
        <f t="shared" si="57"/>
        <v>25.079831165487867</v>
      </c>
      <c r="Q181" t="str">
        <f t="shared" si="58"/>
        <v>Shea|20</v>
      </c>
      <c r="Y181">
        <f>Y180*(1-AB2) + MAX(0,J180-J181)</f>
        <v>0</v>
      </c>
      <c r="Z181">
        <f t="shared" si="59"/>
        <v>14.553093519625456</v>
      </c>
    </row>
    <row r="182" spans="1:26" ht="16" customHeight="1" x14ac:dyDescent="0.2">
      <c r="A182" s="15" t="s">
        <v>19</v>
      </c>
      <c r="B182" s="2">
        <v>21</v>
      </c>
      <c r="C182" s="2">
        <f t="shared" si="50"/>
        <v>79</v>
      </c>
      <c r="D182" s="2">
        <f t="shared" si="51"/>
        <v>0.62839293949727182</v>
      </c>
      <c r="E182" s="2">
        <f t="shared" si="52"/>
        <v>49.643042220284471</v>
      </c>
      <c r="F182" s="2">
        <f>IFERROR(INDEX('3_GrowthInputs'!$F$2:$F$201, MATCH(Q182, '3_GrowthInputs'!$G$2:$G$201, 0)), NA())</f>
        <v>261.69389443641302</v>
      </c>
      <c r="G182" s="2">
        <f t="shared" si="53"/>
        <v>12.99128105029752</v>
      </c>
      <c r="H182" s="2">
        <f t="shared" si="54"/>
        <v>0.27921245032476671</v>
      </c>
      <c r="I182" s="2">
        <f t="shared" si="55"/>
        <v>3.6273274149112793</v>
      </c>
      <c r="J182" s="2">
        <f t="shared" si="56"/>
        <v>16.618608465208798</v>
      </c>
      <c r="K182" s="23">
        <f t="shared" si="57"/>
        <v>28.639401921709826</v>
      </c>
      <c r="Q182" t="str">
        <f t="shared" si="58"/>
        <v>Shea|21</v>
      </c>
      <c r="Y182">
        <f>Y181*(1-AB2) + MAX(0,J181-J182)</f>
        <v>0</v>
      </c>
      <c r="Z182">
        <f t="shared" si="59"/>
        <v>16.618608465208798</v>
      </c>
    </row>
    <row r="183" spans="1:26" ht="16" customHeight="1" x14ac:dyDescent="0.2">
      <c r="A183" s="15" t="s">
        <v>19</v>
      </c>
      <c r="B183" s="2">
        <v>22</v>
      </c>
      <c r="C183" s="2">
        <f t="shared" si="50"/>
        <v>79</v>
      </c>
      <c r="D183" s="2">
        <f t="shared" si="51"/>
        <v>0.62210901010229913</v>
      </c>
      <c r="E183" s="2">
        <f t="shared" si="52"/>
        <v>49.146611798081629</v>
      </c>
      <c r="F183" s="2">
        <f>IFERROR(INDEX('3_GrowthInputs'!$F$2:$F$201, MATCH(Q183, '3_GrowthInputs'!$G$2:$G$201, 0)), NA())</f>
        <v>300.45472983746282</v>
      </c>
      <c r="G183" s="2">
        <f t="shared" si="53"/>
        <v>14.766331970219278</v>
      </c>
      <c r="H183" s="2">
        <f t="shared" si="54"/>
        <v>0.27656460863930138</v>
      </c>
      <c r="I183" s="2">
        <f t="shared" si="55"/>
        <v>4.0838448223816988</v>
      </c>
      <c r="J183" s="2">
        <f t="shared" si="56"/>
        <v>18.850176792600976</v>
      </c>
      <c r="K183" s="23">
        <f t="shared" si="57"/>
        <v>32.48513800591568</v>
      </c>
      <c r="Q183" t="str">
        <f t="shared" si="58"/>
        <v>Shea|22</v>
      </c>
      <c r="Y183">
        <f>Y182*(1-AB2) + MAX(0,J182-J183)</f>
        <v>0</v>
      </c>
      <c r="Z183">
        <f t="shared" si="59"/>
        <v>18.850176792600976</v>
      </c>
    </row>
    <row r="184" spans="1:26" ht="16" customHeight="1" x14ac:dyDescent="0.2">
      <c r="A184" s="15" t="s">
        <v>19</v>
      </c>
      <c r="B184" s="2">
        <v>23</v>
      </c>
      <c r="C184" s="2">
        <f t="shared" si="50"/>
        <v>79</v>
      </c>
      <c r="D184" s="2">
        <f t="shared" si="51"/>
        <v>0.61588792000127612</v>
      </c>
      <c r="E184" s="2">
        <f t="shared" si="52"/>
        <v>48.655145680100816</v>
      </c>
      <c r="F184" s="2">
        <f>IFERROR(INDEX('3_GrowthInputs'!$F$2:$F$201, MATCH(Q184, '3_GrowthInputs'!$G$2:$G$201, 0)), NA())</f>
        <v>342.81098781184886</v>
      </c>
      <c r="G184" s="2">
        <f t="shared" si="53"/>
        <v>16.679518552724769</v>
      </c>
      <c r="H184" s="2">
        <f t="shared" si="54"/>
        <v>0.27406907494174404</v>
      </c>
      <c r="I184" s="2">
        <f t="shared" si="55"/>
        <v>4.5713402202189348</v>
      </c>
      <c r="J184" s="2">
        <f t="shared" si="56"/>
        <v>21.250858772943705</v>
      </c>
      <c r="K184" s="23">
        <f t="shared" si="57"/>
        <v>36.622313285372982</v>
      </c>
      <c r="Q184" t="str">
        <f t="shared" si="58"/>
        <v>Shea|23</v>
      </c>
      <c r="Y184">
        <f>Y183*(1-AB2) + MAX(0,J183-J184)</f>
        <v>0</v>
      </c>
      <c r="Z184">
        <f t="shared" si="59"/>
        <v>21.250858772943705</v>
      </c>
    </row>
    <row r="185" spans="1:26" ht="16" customHeight="1" x14ac:dyDescent="0.2">
      <c r="A185" s="15" t="s">
        <v>19</v>
      </c>
      <c r="B185" s="2">
        <v>24</v>
      </c>
      <c r="C185" s="2">
        <f t="shared" si="50"/>
        <v>79</v>
      </c>
      <c r="D185" s="2">
        <f t="shared" si="51"/>
        <v>0.60972904080126333</v>
      </c>
      <c r="E185" s="2">
        <f t="shared" si="52"/>
        <v>48.168594223299806</v>
      </c>
      <c r="F185" s="2">
        <f>IFERROR(INDEX('3_GrowthInputs'!$F$2:$F$201, MATCH(Q185, '3_GrowthInputs'!$G$2:$G$201, 0)), NA())</f>
        <v>388.91906837109343</v>
      </c>
      <c r="G185" s="2">
        <f t="shared" si="53"/>
        <v>18.733684790070996</v>
      </c>
      <c r="H185" s="2">
        <f t="shared" si="54"/>
        <v>0.27171106230198278</v>
      </c>
      <c r="I185" s="2">
        <f t="shared" si="55"/>
        <v>5.0901493951406875</v>
      </c>
      <c r="J185" s="2">
        <f t="shared" si="56"/>
        <v>23.823834185211684</v>
      </c>
      <c r="K185" s="23">
        <f t="shared" si="57"/>
        <v>41.05640757918146</v>
      </c>
      <c r="Q185" t="str">
        <f t="shared" si="58"/>
        <v>Shea|24</v>
      </c>
      <c r="Y185">
        <f>Y184*(1-AB2) + MAX(0,J184-J185)</f>
        <v>0</v>
      </c>
      <c r="Z185">
        <f t="shared" si="59"/>
        <v>23.823834185211684</v>
      </c>
    </row>
    <row r="186" spans="1:26" ht="16" customHeight="1" x14ac:dyDescent="0.2">
      <c r="A186" s="15" t="s">
        <v>19</v>
      </c>
      <c r="B186" s="2">
        <v>25</v>
      </c>
      <c r="C186" s="2">
        <f t="shared" si="50"/>
        <v>79</v>
      </c>
      <c r="D186" s="2">
        <f t="shared" si="51"/>
        <v>0.60363175039325068</v>
      </c>
      <c r="E186" s="2">
        <f t="shared" si="52"/>
        <v>47.686908281066806</v>
      </c>
      <c r="F186" s="2">
        <f>IFERROR(INDEX('3_GrowthInputs'!$F$2:$F$201, MATCH(Q186, '3_GrowthInputs'!$G$2:$G$201, 0)), NA())</f>
        <v>438.92525054602572</v>
      </c>
      <c r="G186" s="2">
        <f t="shared" si="53"/>
        <v>20.930988165032595</v>
      </c>
      <c r="H186" s="2">
        <f t="shared" si="54"/>
        <v>0.26947825787773966</v>
      </c>
      <c r="I186" s="2">
        <f t="shared" si="55"/>
        <v>5.6404462263725703</v>
      </c>
      <c r="J186" s="2">
        <f t="shared" si="56"/>
        <v>26.571434391405166</v>
      </c>
      <c r="K186" s="23">
        <f t="shared" si="57"/>
        <v>45.791438601188233</v>
      </c>
      <c r="Q186" t="str">
        <f t="shared" si="58"/>
        <v>Shea|25</v>
      </c>
      <c r="Y186">
        <f>Y185*(1-AB2) + MAX(0,J185-J186)</f>
        <v>0</v>
      </c>
      <c r="Z186">
        <f t="shared" si="59"/>
        <v>26.571434391405166</v>
      </c>
    </row>
    <row r="187" spans="1:26" ht="16" customHeight="1" x14ac:dyDescent="0.2">
      <c r="A187" s="15" t="s">
        <v>19</v>
      </c>
      <c r="B187" s="2">
        <v>26</v>
      </c>
      <c r="C187" s="2">
        <f t="shared" si="50"/>
        <v>79</v>
      </c>
      <c r="D187" s="2">
        <f t="shared" si="51"/>
        <v>0.59759543288931816</v>
      </c>
      <c r="E187" s="2">
        <f t="shared" si="52"/>
        <v>47.210039198256133</v>
      </c>
      <c r="F187" s="2">
        <f>IFERROR(INDEX('3_GrowthInputs'!$F$2:$F$201, MATCH(Q187, '3_GrowthInputs'!$G$2:$G$201, 0)), NA())</f>
        <v>492.98575372799405</v>
      </c>
      <c r="G187" s="2">
        <f t="shared" si="53"/>
        <v>23.273876757680441</v>
      </c>
      <c r="H187" s="2">
        <f t="shared" si="54"/>
        <v>0.26735939734263481</v>
      </c>
      <c r="I187" s="2">
        <f t="shared" si="55"/>
        <v>6.2224896637601983</v>
      </c>
      <c r="J187" s="2">
        <f t="shared" si="56"/>
        <v>29.496366421440641</v>
      </c>
      <c r="K187" s="23">
        <f t="shared" si="57"/>
        <v>50.832071466282699</v>
      </c>
      <c r="Q187" t="str">
        <f t="shared" si="58"/>
        <v>Shea|26</v>
      </c>
      <c r="Y187">
        <f>Y186*(1-AB2) + MAX(0,J186-J187)</f>
        <v>0</v>
      </c>
      <c r="Z187">
        <f t="shared" si="59"/>
        <v>29.496366421440641</v>
      </c>
    </row>
    <row r="188" spans="1:26" ht="16" customHeight="1" x14ac:dyDescent="0.2">
      <c r="A188" s="15" t="s">
        <v>19</v>
      </c>
      <c r="B188" s="2">
        <v>27</v>
      </c>
      <c r="C188" s="2">
        <f t="shared" si="50"/>
        <v>79</v>
      </c>
      <c r="D188" s="2">
        <f t="shared" si="51"/>
        <v>0.59161947856042507</v>
      </c>
      <c r="E188" s="2">
        <f t="shared" si="52"/>
        <v>46.737938806273583</v>
      </c>
      <c r="F188" s="2">
        <f>IFERROR(INDEX('3_GrowthInputs'!$F$2:$F$201, MATCH(Q188, '3_GrowthInputs'!$G$2:$G$201, 0)), NA())</f>
        <v>551.24574525848573</v>
      </c>
      <c r="G188" s="2">
        <f t="shared" si="53"/>
        <v>25.764089909109781</v>
      </c>
      <c r="H188" s="2">
        <f t="shared" si="54"/>
        <v>0.26534504710896151</v>
      </c>
      <c r="I188" s="2">
        <f t="shared" si="55"/>
        <v>6.8363736506522548</v>
      </c>
      <c r="J188" s="2">
        <f t="shared" si="56"/>
        <v>32.600463559762034</v>
      </c>
      <c r="K188" s="23">
        <f t="shared" si="57"/>
        <v>56.181465534656567</v>
      </c>
      <c r="Q188" t="str">
        <f t="shared" si="58"/>
        <v>Shea|27</v>
      </c>
      <c r="Y188">
        <f>Y187*(1-AB2) + MAX(0,J187-J188)</f>
        <v>0</v>
      </c>
      <c r="Z188">
        <f t="shared" si="59"/>
        <v>32.600463559762034</v>
      </c>
    </row>
    <row r="189" spans="1:26" ht="16" customHeight="1" x14ac:dyDescent="0.2">
      <c r="A189" s="15" t="s">
        <v>19</v>
      </c>
      <c r="B189" s="2">
        <v>28</v>
      </c>
      <c r="C189" s="2">
        <f t="shared" si="50"/>
        <v>79</v>
      </c>
      <c r="D189" s="2">
        <f t="shared" si="51"/>
        <v>0.58570328377482073</v>
      </c>
      <c r="E189" s="2">
        <f t="shared" si="52"/>
        <v>46.270559418210837</v>
      </c>
      <c r="F189" s="2">
        <f>IFERROR(INDEX('3_GrowthInputs'!$F$2:$F$201, MATCH(Q189, '3_GrowthInputs'!$G$2:$G$201, 0)), NA())</f>
        <v>613.85868650872999</v>
      </c>
      <c r="G189" s="2">
        <f t="shared" si="53"/>
        <v>28.403584828487052</v>
      </c>
      <c r="H189" s="2">
        <f t="shared" si="54"/>
        <v>0.26342653799763971</v>
      </c>
      <c r="I189" s="2">
        <f t="shared" si="55"/>
        <v>7.4822580180906275</v>
      </c>
      <c r="J189" s="2">
        <f t="shared" si="56"/>
        <v>35.885842846577681</v>
      </c>
      <c r="K189" s="23">
        <f t="shared" si="57"/>
        <v>61.843269172268862</v>
      </c>
      <c r="Q189" t="str">
        <f t="shared" si="58"/>
        <v>Shea|28</v>
      </c>
      <c r="Y189">
        <f>Y188*(1-AB2) + MAX(0,J188-J189)</f>
        <v>0</v>
      </c>
      <c r="Z189">
        <f t="shared" si="59"/>
        <v>35.885842846577681</v>
      </c>
    </row>
    <row r="190" spans="1:26" ht="16" customHeight="1" x14ac:dyDescent="0.2">
      <c r="A190" s="15" t="s">
        <v>19</v>
      </c>
      <c r="B190" s="2">
        <v>29</v>
      </c>
      <c r="C190" s="2">
        <f t="shared" si="50"/>
        <v>79</v>
      </c>
      <c r="D190" s="2">
        <f t="shared" si="51"/>
        <v>0.57984625093707254</v>
      </c>
      <c r="E190" s="2">
        <f t="shared" si="52"/>
        <v>45.807853824028733</v>
      </c>
      <c r="F190" s="2">
        <f>IFERROR(INDEX('3_GrowthInputs'!$F$2:$F$201, MATCH(Q190, '3_GrowthInputs'!$G$2:$G$201, 0)), NA())</f>
        <v>680.97740967477876</v>
      </c>
      <c r="G190" s="2">
        <f t="shared" si="53"/>
        <v>31.194113639847995</v>
      </c>
      <c r="H190" s="2">
        <f t="shared" si="54"/>
        <v>0.26159623067829768</v>
      </c>
      <c r="I190" s="2">
        <f t="shared" si="55"/>
        <v>8.1602625475347086</v>
      </c>
      <c r="J190" s="2">
        <f t="shared" si="56"/>
        <v>39.354376187382705</v>
      </c>
      <c r="K190" s="23">
        <f t="shared" si="57"/>
        <v>67.820708296256186</v>
      </c>
      <c r="Q190" t="str">
        <f t="shared" si="58"/>
        <v>Shea|29</v>
      </c>
      <c r="Y190">
        <f>Y189*(1-AB2) + MAX(0,J189-J190)</f>
        <v>0</v>
      </c>
      <c r="Z190">
        <f t="shared" si="59"/>
        <v>39.354376187382705</v>
      </c>
    </row>
    <row r="191" spans="1:26" ht="16" customHeight="1" x14ac:dyDescent="0.2">
      <c r="A191" s="15" t="s">
        <v>19</v>
      </c>
      <c r="B191" s="2">
        <v>30</v>
      </c>
      <c r="C191" s="2">
        <f t="shared" si="50"/>
        <v>79</v>
      </c>
      <c r="D191" s="2">
        <f t="shared" si="51"/>
        <v>0.57404778842770177</v>
      </c>
      <c r="E191" s="2">
        <f t="shared" si="52"/>
        <v>45.349775285788439</v>
      </c>
      <c r="F191" s="2">
        <f>IFERROR(INDEX('3_GrowthInputs'!$F$2:$F$201, MATCH(Q191, '3_GrowthInputs'!$G$2:$G$201, 0)), NA())</f>
        <v>752.74533868086166</v>
      </c>
      <c r="G191" s="2">
        <f t="shared" si="53"/>
        <v>34.136831956601789</v>
      </c>
      <c r="H191" s="2">
        <f t="shared" si="54"/>
        <v>0.25984758207377562</v>
      </c>
      <c r="I191" s="2">
        <f t="shared" si="55"/>
        <v>8.8703732435817688</v>
      </c>
      <c r="J191" s="2">
        <f t="shared" si="56"/>
        <v>43.007205200183556</v>
      </c>
      <c r="K191" s="23">
        <f t="shared" si="57"/>
        <v>74.115750294982988</v>
      </c>
      <c r="Q191" t="str">
        <f t="shared" si="58"/>
        <v>Shea|30</v>
      </c>
      <c r="Y191">
        <f>Y190*(1-AB2) + MAX(0,J190-J191)</f>
        <v>0</v>
      </c>
      <c r="Z191">
        <f t="shared" si="59"/>
        <v>43.007205200183556</v>
      </c>
    </row>
    <row r="192" spans="1:26" ht="16" customHeight="1" x14ac:dyDescent="0.2">
      <c r="A192" s="15" t="s">
        <v>19</v>
      </c>
      <c r="B192" s="2">
        <v>31</v>
      </c>
      <c r="C192" s="2">
        <f t="shared" si="50"/>
        <v>79</v>
      </c>
      <c r="D192" s="2">
        <f t="shared" si="51"/>
        <v>0.56830731054342476</v>
      </c>
      <c r="E192" s="2">
        <f t="shared" si="52"/>
        <v>44.896277532930554</v>
      </c>
      <c r="F192" s="2">
        <f>IFERROR(INDEX('3_GrowthInputs'!$F$2:$F$201, MATCH(Q192, '3_GrowthInputs'!$G$2:$G$201, 0)), NA())</f>
        <v>829.30754661973867</v>
      </c>
      <c r="G192" s="2">
        <f t="shared" si="53"/>
        <v>37.232821773193528</v>
      </c>
      <c r="H192" s="2">
        <f t="shared" si="54"/>
        <v>0.25817464965184017</v>
      </c>
      <c r="I192" s="2">
        <f t="shared" si="55"/>
        <v>9.6125707168436456</v>
      </c>
      <c r="J192" s="2">
        <f t="shared" si="56"/>
        <v>46.84539249003717</v>
      </c>
      <c r="K192" s="23">
        <f t="shared" si="57"/>
        <v>80.730226391164052</v>
      </c>
      <c r="Q192" t="str">
        <f t="shared" si="58"/>
        <v>Shea|31</v>
      </c>
      <c r="Y192">
        <f>Y191*(1-AB2) + MAX(0,J191-J192)</f>
        <v>0</v>
      </c>
      <c r="Z192">
        <f t="shared" si="59"/>
        <v>46.84539249003717</v>
      </c>
    </row>
    <row r="193" spans="1:26" ht="16" customHeight="1" x14ac:dyDescent="0.2">
      <c r="A193" s="15" t="s">
        <v>19</v>
      </c>
      <c r="B193" s="2">
        <v>32</v>
      </c>
      <c r="C193" s="2">
        <f t="shared" si="50"/>
        <v>79</v>
      </c>
      <c r="D193" s="2">
        <f t="shared" si="51"/>
        <v>0.5626242374379905</v>
      </c>
      <c r="E193" s="2">
        <f t="shared" si="52"/>
        <v>44.447314757601248</v>
      </c>
      <c r="F193" s="2">
        <f>IFERROR(INDEX('3_GrowthInputs'!$F$2:$F$201, MATCH(Q193, '3_GrowthInputs'!$G$2:$G$201, 0)), NA())</f>
        <v>910.82630379274804</v>
      </c>
      <c r="G193" s="2">
        <f t="shared" si="53"/>
        <v>40.483783414178802</v>
      </c>
      <c r="H193" s="2">
        <f t="shared" si="54"/>
        <v>0.25657171304153747</v>
      </c>
      <c r="I193" s="2">
        <f t="shared" si="55"/>
        <v>10.386993660978439</v>
      </c>
      <c r="J193" s="2">
        <f t="shared" si="56"/>
        <v>50.870777075157243</v>
      </c>
      <c r="K193" s="23">
        <f t="shared" si="57"/>
        <v>87.667305826187643</v>
      </c>
      <c r="Q193" t="str">
        <f t="shared" si="58"/>
        <v>Shea|32</v>
      </c>
      <c r="Y193">
        <f>Y192*(1-AB2) + MAX(0,J192-J193)</f>
        <v>0</v>
      </c>
      <c r="Z193">
        <f t="shared" si="59"/>
        <v>50.870777075157243</v>
      </c>
    </row>
    <row r="194" spans="1:26" ht="16" customHeight="1" x14ac:dyDescent="0.2">
      <c r="A194" s="15" t="s">
        <v>19</v>
      </c>
      <c r="B194" s="2">
        <v>33</v>
      </c>
      <c r="C194" s="2">
        <f t="shared" ref="C194:C201" si="60">INDEX($N$2:$N$6, MATCH(A194, $M$2:$M$6, 0))</f>
        <v>79</v>
      </c>
      <c r="D194" s="2">
        <f t="shared" ref="D194:D201" si="61">IF(B194=1,INDEX($T$2:$T$6, MATCH(A194, $S$2:$S$6, 0)),INDEX($T$2:$T$6, MATCH(A194, $S$2:$S$6, 0))*POWER(INDEX($U$2:$U$6, MATCH(A194, $S$2:$S$6, 0)),MIN(B194-1,2))*POWER(INDEX($V$2:$V$6, MATCH(A194, $S$2:$S$6, 0)),MAX(MIN(B194-3,17),0))*POWER(INDEX($W$2:$W$6, MATCH(A194, $S$2:$S$6, 0)),MAX(B194-20,0)))</f>
        <v>0.55699799506361058</v>
      </c>
      <c r="E194" s="2">
        <f t="shared" ref="E194:E225" si="62">C194*D194</f>
        <v>44.002841610025236</v>
      </c>
      <c r="F194" s="2">
        <f>IFERROR(INDEX('3_GrowthInputs'!$F$2:$F$201, MATCH(Q194, '3_GrowthInputs'!$G$2:$G$201, 0)), NA())</f>
        <v>997.43517596532445</v>
      </c>
      <c r="G194" s="2">
        <f t="shared" ref="G194:G225" si="63">IF(OR(ISNA(E194),ISNA(F194)),NA(),E194*F194/1000)</f>
        <v>43.889982064269823</v>
      </c>
      <c r="H194" s="2">
        <f t="shared" ref="H194:H225" si="64">IF(ISNA(G194),NA(),IF(G194&gt;0,EXP(-1.085+0.9256*LN(G194))/G194,0))</f>
        <v>0.25503424582914835</v>
      </c>
      <c r="I194" s="2">
        <f t="shared" ref="I194:I225" si="65">IF(OR(ISNA(G194),ISNA(H194)),NA(),G194*H194)</f>
        <v>11.193448475215902</v>
      </c>
      <c r="J194" s="2">
        <f t="shared" ref="J194:J225" si="66">IF(OR(ISNA(G194),ISNA(I194)),NA(),G194+I194)</f>
        <v>55.083430539485725</v>
      </c>
      <c r="K194" s="23">
        <f t="shared" ref="K194:K201" si="67">Z194*0.47*(44/12)</f>
        <v>94.927111963047054</v>
      </c>
      <c r="Q194" t="str">
        <f t="shared" ref="Q194:Q201" si="68">A194&amp;"|"&amp;B194</f>
        <v>Shea|33</v>
      </c>
      <c r="Y194">
        <f>Y193*(1-AB2) + MAX(0,J193-J194)</f>
        <v>0</v>
      </c>
      <c r="Z194">
        <f t="shared" ref="Z194:Z225" si="69">J194+Y194</f>
        <v>55.083430539485725</v>
      </c>
    </row>
    <row r="195" spans="1:26" ht="16" customHeight="1" x14ac:dyDescent="0.2">
      <c r="A195" s="15" t="s">
        <v>19</v>
      </c>
      <c r="B195" s="2">
        <v>34</v>
      </c>
      <c r="C195" s="2">
        <f t="shared" si="60"/>
        <v>79</v>
      </c>
      <c r="D195" s="2">
        <f t="shared" si="61"/>
        <v>0.55142801511297446</v>
      </c>
      <c r="E195" s="2">
        <f t="shared" si="62"/>
        <v>43.562813193924981</v>
      </c>
      <c r="F195" s="2">
        <f>IFERROR(INDEX('3_GrowthInputs'!$F$2:$F$201, MATCH(Q195, '3_GrowthInputs'!$G$2:$G$201, 0)), NA())</f>
        <v>1089.2846489910692</v>
      </c>
      <c r="G195" s="2">
        <f t="shared" si="63"/>
        <v>47.452303679008089</v>
      </c>
      <c r="H195" s="2">
        <f t="shared" si="64"/>
        <v>0.25355778189184419</v>
      </c>
      <c r="I195" s="2">
        <f t="shared" si="65"/>
        <v>12.031900866507488</v>
      </c>
      <c r="J195" s="2">
        <f t="shared" si="66"/>
        <v>59.484204545515581</v>
      </c>
      <c r="K195" s="23">
        <f t="shared" si="67"/>
        <v>102.51111250010518</v>
      </c>
      <c r="Q195" t="str">
        <f t="shared" si="68"/>
        <v>Shea|34</v>
      </c>
      <c r="Y195">
        <f>Y194*(1-AB2) + MAX(0,J194-J195)</f>
        <v>0</v>
      </c>
      <c r="Z195">
        <f t="shared" si="69"/>
        <v>59.484204545515581</v>
      </c>
    </row>
    <row r="196" spans="1:26" ht="16" customHeight="1" x14ac:dyDescent="0.2">
      <c r="A196" s="15" t="s">
        <v>19</v>
      </c>
      <c r="B196" s="2">
        <v>35</v>
      </c>
      <c r="C196" s="2">
        <f t="shared" si="60"/>
        <v>79</v>
      </c>
      <c r="D196" s="2">
        <f t="shared" si="61"/>
        <v>0.5459137349618447</v>
      </c>
      <c r="E196" s="2">
        <f t="shared" si="62"/>
        <v>43.127185061985735</v>
      </c>
      <c r="F196" s="2">
        <f>IFERROR(INDEX('3_GrowthInputs'!$F$2:$F$201, MATCH(Q196, '3_GrowthInputs'!$G$2:$G$201, 0)), NA())</f>
        <v>1186.5247571727969</v>
      </c>
      <c r="G196" s="2">
        <f t="shared" si="63"/>
        <v>51.171472783218896</v>
      </c>
      <c r="H196" s="2">
        <f t="shared" si="64"/>
        <v>0.25213829406672411</v>
      </c>
      <c r="I196" s="2">
        <f t="shared" si="65"/>
        <v>12.902287852442615</v>
      </c>
      <c r="J196" s="2">
        <f t="shared" si="66"/>
        <v>64.073760635661515</v>
      </c>
      <c r="K196" s="23">
        <f t="shared" si="67"/>
        <v>110.42044749545666</v>
      </c>
      <c r="Q196" t="str">
        <f t="shared" si="68"/>
        <v>Shea|35</v>
      </c>
      <c r="Y196">
        <f>Y195*(1-AB2) + MAX(0,J195-J196)</f>
        <v>0</v>
      </c>
      <c r="Z196">
        <f t="shared" si="69"/>
        <v>64.073760635661515</v>
      </c>
    </row>
    <row r="197" spans="1:26" ht="16" customHeight="1" x14ac:dyDescent="0.2">
      <c r="A197" s="15" t="s">
        <v>19</v>
      </c>
      <c r="B197" s="2">
        <v>36</v>
      </c>
      <c r="C197" s="2">
        <f t="shared" si="60"/>
        <v>79</v>
      </c>
      <c r="D197" s="2">
        <f t="shared" si="61"/>
        <v>0.54045459761222625</v>
      </c>
      <c r="E197" s="2">
        <f t="shared" si="62"/>
        <v>42.695913211365877</v>
      </c>
      <c r="F197" s="2">
        <f>IFERROR(INDEX('3_GrowthInputs'!$F$2:$F$201, MATCH(Q197, '3_GrowthInputs'!$G$2:$G$201, 0)), NA())</f>
        <v>1289.3050011344528</v>
      </c>
      <c r="G197" s="2">
        <f t="shared" si="63"/>
        <v>55.048054431416581</v>
      </c>
      <c r="H197" s="2">
        <f t="shared" si="64"/>
        <v>0.25077213894255046</v>
      </c>
      <c r="I197" s="2">
        <f t="shared" si="65"/>
        <v>13.804518354392279</v>
      </c>
      <c r="J197" s="2">
        <f t="shared" si="66"/>
        <v>68.85257278580886</v>
      </c>
      <c r="K197" s="23">
        <f t="shared" si="67"/>
        <v>118.65593376754391</v>
      </c>
      <c r="Q197" t="str">
        <f t="shared" si="68"/>
        <v>Shea|36</v>
      </c>
      <c r="Y197">
        <f>Y196*(1-AB2) + MAX(0,J196-J197)</f>
        <v>0</v>
      </c>
      <c r="Z197">
        <f t="shared" si="69"/>
        <v>68.85257278580886</v>
      </c>
    </row>
    <row r="198" spans="1:26" ht="16" customHeight="1" x14ac:dyDescent="0.2">
      <c r="A198" s="15" t="s">
        <v>19</v>
      </c>
      <c r="B198" s="2">
        <v>37</v>
      </c>
      <c r="C198" s="2">
        <f t="shared" si="60"/>
        <v>79</v>
      </c>
      <c r="D198" s="2">
        <f t="shared" si="61"/>
        <v>0.53505005163610397</v>
      </c>
      <c r="E198" s="2">
        <f t="shared" si="62"/>
        <v>42.268954079252211</v>
      </c>
      <c r="F198" s="2">
        <f>IFERROR(INDEX('3_GrowthInputs'!$F$2:$F$201, MATCH(Q198, '3_GrowthInputs'!$G$2:$G$201, 0)), NA())</f>
        <v>1397.7618200582424</v>
      </c>
      <c r="G198" s="2">
        <f t="shared" si="63"/>
        <v>59.081930185773842</v>
      </c>
      <c r="H198" s="2">
        <f t="shared" si="64"/>
        <v>0.24945617525198077</v>
      </c>
      <c r="I198" s="2">
        <f t="shared" si="65"/>
        <v>14.738352330647693</v>
      </c>
      <c r="J198" s="2">
        <f t="shared" si="66"/>
        <v>73.820282516421543</v>
      </c>
      <c r="K198" s="23">
        <f t="shared" si="67"/>
        <v>127.21695353663311</v>
      </c>
      <c r="Q198" t="str">
        <f t="shared" si="68"/>
        <v>Shea|37</v>
      </c>
      <c r="Y198">
        <f>Y197*(1-AB2) + MAX(0,J197-J198)</f>
        <v>0</v>
      </c>
      <c r="Z198">
        <f t="shared" si="69"/>
        <v>73.820282516421543</v>
      </c>
    </row>
    <row r="199" spans="1:26" ht="16" customHeight="1" x14ac:dyDescent="0.2">
      <c r="A199" s="15" t="s">
        <v>19</v>
      </c>
      <c r="B199" s="2">
        <v>38</v>
      </c>
      <c r="C199" s="2">
        <f t="shared" si="60"/>
        <v>79</v>
      </c>
      <c r="D199" s="2">
        <f t="shared" si="61"/>
        <v>0.52969955111974298</v>
      </c>
      <c r="E199" s="2">
        <f t="shared" si="62"/>
        <v>41.846264538459693</v>
      </c>
      <c r="F199" s="2">
        <f>IFERROR(INDEX('3_GrowthInputs'!$F$2:$F$201, MATCH(Q199, '3_GrowthInputs'!$G$2:$G$201, 0)), NA())</f>
        <v>1512.0481450155992</v>
      </c>
      <c r="G199" s="2">
        <f t="shared" si="63"/>
        <v>63.273566671210027</v>
      </c>
      <c r="H199" s="2">
        <f t="shared" si="64"/>
        <v>0.24818729565433398</v>
      </c>
      <c r="I199" s="2">
        <f t="shared" si="65"/>
        <v>15.703695398531815</v>
      </c>
      <c r="J199" s="2">
        <f t="shared" si="66"/>
        <v>78.97726206974184</v>
      </c>
      <c r="K199" s="23">
        <f t="shared" si="67"/>
        <v>136.10414830018843</v>
      </c>
      <c r="Q199" t="str">
        <f t="shared" si="68"/>
        <v>Shea|38</v>
      </c>
      <c r="Y199">
        <f>Y198*(1-AB2) + MAX(0,J198-J199)</f>
        <v>0</v>
      </c>
      <c r="Z199">
        <f t="shared" si="69"/>
        <v>78.97726206974184</v>
      </c>
    </row>
    <row r="200" spans="1:26" ht="16" customHeight="1" x14ac:dyDescent="0.2">
      <c r="A200" s="15" t="s">
        <v>19</v>
      </c>
      <c r="B200" s="2">
        <v>39</v>
      </c>
      <c r="C200" s="2">
        <f t="shared" si="60"/>
        <v>79</v>
      </c>
      <c r="D200" s="2">
        <f t="shared" si="61"/>
        <v>0.52440255560854543</v>
      </c>
      <c r="E200" s="2">
        <f t="shared" si="62"/>
        <v>41.427801893075092</v>
      </c>
      <c r="F200" s="2">
        <f>IFERROR(INDEX('3_GrowthInputs'!$F$2:$F$201, MATCH(Q200, '3_GrowthInputs'!$G$2:$G$201, 0)), NA())</f>
        <v>1632.3036187718869</v>
      </c>
      <c r="G200" s="2">
        <f t="shared" si="63"/>
        <v>67.622750947831307</v>
      </c>
      <c r="H200" s="2">
        <f t="shared" si="64"/>
        <v>0.24696282265959871</v>
      </c>
      <c r="I200" s="2">
        <f t="shared" si="65"/>
        <v>16.700305450083473</v>
      </c>
      <c r="J200" s="2">
        <f t="shared" si="66"/>
        <v>84.323056397914783</v>
      </c>
      <c r="K200" s="23">
        <f t="shared" si="67"/>
        <v>145.31673385907314</v>
      </c>
      <c r="Q200" t="str">
        <f t="shared" si="68"/>
        <v>Shea|39</v>
      </c>
      <c r="Y200">
        <f>Y199*(1-AB2) + MAX(0,J199-J200)</f>
        <v>0</v>
      </c>
      <c r="Z200">
        <f t="shared" si="69"/>
        <v>84.323056397914783</v>
      </c>
    </row>
    <row r="201" spans="1:26" ht="16" customHeight="1" x14ac:dyDescent="0.2">
      <c r="A201" s="17" t="s">
        <v>19</v>
      </c>
      <c r="B201" s="18">
        <v>40</v>
      </c>
      <c r="C201" s="18">
        <f t="shared" si="60"/>
        <v>79</v>
      </c>
      <c r="D201" s="18">
        <f t="shared" si="61"/>
        <v>0.51915853005246004</v>
      </c>
      <c r="E201" s="18">
        <f t="shared" si="62"/>
        <v>41.01352387414434</v>
      </c>
      <c r="F201" s="18">
        <f>IFERROR(INDEX('3_GrowthInputs'!$F$2:$F$201, MATCH(Q201, '3_GrowthInputs'!$G$2:$G$201, 0)), NA())</f>
        <v>1758.6799989788901</v>
      </c>
      <c r="G201" s="18">
        <f t="shared" si="63"/>
        <v>72.129664125100859</v>
      </c>
      <c r="H201" s="18">
        <f t="shared" si="64"/>
        <v>0.24578015413137416</v>
      </c>
      <c r="I201" s="18">
        <f t="shared" si="65"/>
        <v>17.728039966111538</v>
      </c>
      <c r="J201" s="18">
        <f t="shared" si="66"/>
        <v>89.857704091212398</v>
      </c>
      <c r="K201" s="24">
        <f t="shared" si="67"/>
        <v>154.85477671718934</v>
      </c>
      <c r="Q201" t="str">
        <f t="shared" si="68"/>
        <v>Shea|40</v>
      </c>
      <c r="Y201">
        <f>Y200*(1-AB2) + MAX(0,J200-J201)</f>
        <v>0</v>
      </c>
      <c r="Z201">
        <f t="shared" si="69"/>
        <v>89.857704091212398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4"/>
  <sheetViews>
    <sheetView showGridLines="0" workbookViewId="0">
      <pane ySplit="2" topLeftCell="A3" activePane="bottomLeft" state="frozen"/>
      <selection pane="bottomLeft" activeCell="K42" sqref="K42"/>
    </sheetView>
  </sheetViews>
  <sheetFormatPr baseColWidth="10" defaultColWidth="8.83203125" defaultRowHeight="15" x14ac:dyDescent="0.2"/>
  <cols>
    <col min="1" max="1" width="10" customWidth="1"/>
    <col min="2" max="2" width="32" customWidth="1"/>
    <col min="3" max="3" width="30" customWidth="1"/>
    <col min="4" max="4" width="32" customWidth="1"/>
    <col min="6" max="6" width="26" customWidth="1"/>
    <col min="7" max="7" width="16" customWidth="1"/>
    <col min="8" max="9" width="13" hidden="1" customWidth="1"/>
  </cols>
  <sheetData>
    <row r="1" spans="1:9" ht="17" customHeight="1" x14ac:dyDescent="0.2">
      <c r="A1" s="3" t="s">
        <v>77</v>
      </c>
      <c r="F1" s="25" t="s">
        <v>78</v>
      </c>
      <c r="G1" s="11">
        <v>8000.0000000000009</v>
      </c>
    </row>
    <row r="2" spans="1:9" ht="16" customHeight="1" x14ac:dyDescent="0.2">
      <c r="A2" s="20" t="s">
        <v>51</v>
      </c>
      <c r="B2" s="21" t="s">
        <v>79</v>
      </c>
      <c r="C2" s="21" t="s">
        <v>80</v>
      </c>
      <c r="D2" s="22" t="s">
        <v>81</v>
      </c>
      <c r="F2" s="26" t="s">
        <v>137</v>
      </c>
      <c r="H2" t="s">
        <v>1</v>
      </c>
      <c r="I2" t="s">
        <v>82</v>
      </c>
    </row>
    <row r="3" spans="1:9" ht="16" customHeight="1" x14ac:dyDescent="0.2">
      <c r="A3" s="15">
        <v>1</v>
      </c>
      <c r="B3" s="2">
        <f>'4_BiomassPerHa'!$K$2*INDEX($I$3:$I$7,MATCH("Cashew",$H$3:$H$7,0))+'4_BiomassPerHa'!$K$42*INDEX($I$3:$I$7,MATCH("Dawadawa",$H$3:$H$7,0))+'4_BiomassPerHa'!$K$82*INDEX($I$3:$I$7,MATCH("Mango",$H$3:$H$7,0))+'4_BiomassPerHa'!$K$122*INDEX($I$3:$I$7,MATCH("Moringa",$H$3:$H$7,0))+'4_BiomassPerHa'!$K$162*INDEX($I$3:$I$7,MATCH("Shea",$H$3:$H$7,0))</f>
        <v>384.9919734633869</v>
      </c>
      <c r="C3" s="2">
        <f>B3</f>
        <v>384.9919734633869</v>
      </c>
      <c r="D3" s="23">
        <f>C3/G1</f>
        <v>4.8123996682923359E-2</v>
      </c>
      <c r="F3">
        <f t="shared" ref="F3:F42" si="0">D3*$G$1</f>
        <v>384.9919734633869</v>
      </c>
      <c r="H3" t="s">
        <v>9</v>
      </c>
      <c r="I3">
        <v>4444.4444444444443</v>
      </c>
    </row>
    <row r="4" spans="1:9" ht="16" customHeight="1" x14ac:dyDescent="0.2">
      <c r="A4" s="15">
        <v>2</v>
      </c>
      <c r="B4" s="2">
        <f>'4_BiomassPerHa'!$K$3*INDEX($I$3:$I$7,MATCH("Cashew",$H$3:$H$7,0))+'4_BiomassPerHa'!$K$43*INDEX($I$3:$I$7,MATCH("Dawadawa",$H$3:$H$7,0))+'4_BiomassPerHa'!$K$83*INDEX($I$3:$I$7,MATCH("Mango",$H$3:$H$7,0))+'4_BiomassPerHa'!$K$123*INDEX($I$3:$I$7,MATCH("Moringa",$H$3:$H$7,0))+'4_BiomassPerHa'!$K$163*INDEX($I$3:$I$7,MATCH("Shea",$H$3:$H$7,0))</f>
        <v>747.05794329795549</v>
      </c>
      <c r="C4" s="2">
        <f t="shared" ref="C4:C42" si="1">B4-B3</f>
        <v>362.06596983456859</v>
      </c>
      <c r="D4" s="23">
        <f>C4/G1</f>
        <v>4.5258246229321071E-2</v>
      </c>
      <c r="F4">
        <f t="shared" si="0"/>
        <v>362.06596983456859</v>
      </c>
      <c r="H4" t="s">
        <v>13</v>
      </c>
      <c r="I4">
        <v>222.2222222222222</v>
      </c>
    </row>
    <row r="5" spans="1:9" ht="16" customHeight="1" x14ac:dyDescent="0.2">
      <c r="A5" s="15">
        <v>3</v>
      </c>
      <c r="B5" s="2">
        <f>'4_BiomassPerHa'!$K$4*INDEX($I$3:$I$7,MATCH("Cashew",$H$3:$H$7,0))+'4_BiomassPerHa'!$K$44*INDEX($I$3:$I$7,MATCH("Dawadawa",$H$3:$H$7,0))+'4_BiomassPerHa'!$K$84*INDEX($I$3:$I$7,MATCH("Mango",$H$3:$H$7,0))+'4_BiomassPerHa'!$K$124*INDEX($I$3:$I$7,MATCH("Moringa",$H$3:$H$7,0))+'4_BiomassPerHa'!$K$164*INDEX($I$3:$I$7,MATCH("Shea",$H$3:$H$7,0))</f>
        <v>1241.8450739244654</v>
      </c>
      <c r="C5" s="2">
        <f t="shared" si="1"/>
        <v>494.78713062650991</v>
      </c>
      <c r="D5" s="23">
        <f>C5/G1</f>
        <v>6.1848391328313733E-2</v>
      </c>
      <c r="F5">
        <f t="shared" si="0"/>
        <v>494.78713062650991</v>
      </c>
      <c r="H5" t="s">
        <v>15</v>
      </c>
      <c r="I5">
        <v>1111.1111111111111</v>
      </c>
    </row>
    <row r="6" spans="1:9" ht="16" customHeight="1" x14ac:dyDescent="0.2">
      <c r="A6" s="15">
        <v>4</v>
      </c>
      <c r="B6" s="2">
        <f>'4_BiomassPerHa'!$K$5*INDEX($I$3:$I$7,MATCH("Cashew",$H$3:$H$7,0))+'4_BiomassPerHa'!$K$45*INDEX($I$3:$I$7,MATCH("Dawadawa",$H$3:$H$7,0))+'4_BiomassPerHa'!$K$85*INDEX($I$3:$I$7,MATCH("Mango",$H$3:$H$7,0))+'4_BiomassPerHa'!$K$125*INDEX($I$3:$I$7,MATCH("Moringa",$H$3:$H$7,0))+'4_BiomassPerHa'!$K$165*INDEX($I$3:$I$7,MATCH("Shea",$H$3:$H$7,0))</f>
        <v>2281.8467894021737</v>
      </c>
      <c r="C6" s="2">
        <f t="shared" si="1"/>
        <v>1040.0017154777083</v>
      </c>
      <c r="D6" s="23">
        <f>C6/G1</f>
        <v>0.13000021443471352</v>
      </c>
      <c r="F6">
        <f t="shared" si="0"/>
        <v>1040.0017154777083</v>
      </c>
      <c r="H6" t="s">
        <v>17</v>
      </c>
      <c r="I6">
        <v>1111.1111111111111</v>
      </c>
    </row>
    <row r="7" spans="1:9" ht="16" customHeight="1" x14ac:dyDescent="0.2">
      <c r="A7" s="15">
        <v>5</v>
      </c>
      <c r="B7" s="2">
        <f>'4_BiomassPerHa'!$K$6*INDEX($I$3:$I$7,MATCH("Cashew",$H$3:$H$7,0))+'4_BiomassPerHa'!$K$46*INDEX($I$3:$I$7,MATCH("Dawadawa",$H$3:$H$7,0))+'4_BiomassPerHa'!$K$86*INDEX($I$3:$I$7,MATCH("Mango",$H$3:$H$7,0))+'4_BiomassPerHa'!$K$126*INDEX($I$3:$I$7,MATCH("Moringa",$H$3:$H$7,0))+'4_BiomassPerHa'!$K$166*INDEX($I$3:$I$7,MATCH("Shea",$H$3:$H$7,0))</f>
        <v>4341.934660090531</v>
      </c>
      <c r="C7" s="2">
        <f t="shared" si="1"/>
        <v>2060.0878706883573</v>
      </c>
      <c r="D7" s="23">
        <f>C7/G1</f>
        <v>0.25751098383604465</v>
      </c>
      <c r="F7">
        <f t="shared" si="0"/>
        <v>2060.0878706883573</v>
      </c>
      <c r="H7" t="s">
        <v>19</v>
      </c>
      <c r="I7">
        <v>1111.1111111111111</v>
      </c>
    </row>
    <row r="8" spans="1:9" ht="16" customHeight="1" x14ac:dyDescent="0.2">
      <c r="A8" s="15">
        <v>6</v>
      </c>
      <c r="B8" s="2">
        <f>'4_BiomassPerHa'!$K$7*INDEX($I$3:$I$7,MATCH("Cashew",$H$3:$H$7,0))+'4_BiomassPerHa'!$K$47*INDEX($I$3:$I$7,MATCH("Dawadawa",$H$3:$H$7,0))+'4_BiomassPerHa'!$K$87*INDEX($I$3:$I$7,MATCH("Mango",$H$3:$H$7,0))+'4_BiomassPerHa'!$K$127*INDEX($I$3:$I$7,MATCH("Moringa",$H$3:$H$7,0))+'4_BiomassPerHa'!$K$167*INDEX($I$3:$I$7,MATCH("Shea",$H$3:$H$7,0))</f>
        <v>8191.7882012895998</v>
      </c>
      <c r="C8" s="2">
        <f t="shared" si="1"/>
        <v>3849.8535411990688</v>
      </c>
      <c r="D8" s="23">
        <f>C8/G1</f>
        <v>0.48123169264988352</v>
      </c>
      <c r="F8">
        <f t="shared" si="0"/>
        <v>3849.8535411990688</v>
      </c>
    </row>
    <row r="9" spans="1:9" ht="16" customHeight="1" x14ac:dyDescent="0.2">
      <c r="A9" s="15">
        <v>7</v>
      </c>
      <c r="B9" s="2">
        <f>'4_BiomassPerHa'!$K$8*INDEX($I$3:$I$7,MATCH("Cashew",$H$3:$H$7,0))+'4_BiomassPerHa'!$K$48*INDEX($I$3:$I$7,MATCH("Dawadawa",$H$3:$H$7,0))+'4_BiomassPerHa'!$K$88*INDEX($I$3:$I$7,MATCH("Mango",$H$3:$H$7,0))+'4_BiomassPerHa'!$K$128*INDEX($I$3:$I$7,MATCH("Moringa",$H$3:$H$7,0))+'4_BiomassPerHa'!$K$168*INDEX($I$3:$I$7,MATCH("Shea",$H$3:$H$7,0))</f>
        <v>14580.188520211148</v>
      </c>
      <c r="C9" s="2">
        <f t="shared" si="1"/>
        <v>6388.4003189215482</v>
      </c>
      <c r="D9" s="23">
        <f>C9/G1</f>
        <v>0.79855003986519346</v>
      </c>
      <c r="F9">
        <f t="shared" si="0"/>
        <v>6388.4003189215482</v>
      </c>
    </row>
    <row r="10" spans="1:9" ht="16" customHeight="1" x14ac:dyDescent="0.2">
      <c r="A10" s="15">
        <v>8</v>
      </c>
      <c r="B10" s="2">
        <f>'4_BiomassPerHa'!$K$9*INDEX($I$3:$I$7,MATCH("Cashew",$H$3:$H$7,0))+'4_BiomassPerHa'!$K$49*INDEX($I$3:$I$7,MATCH("Dawadawa",$H$3:$H$7,0))+'4_BiomassPerHa'!$K$89*INDEX($I$3:$I$7,MATCH("Mango",$H$3:$H$7,0))+'4_BiomassPerHa'!$K$129*INDEX($I$3:$I$7,MATCH("Moringa",$H$3:$H$7,0))+'4_BiomassPerHa'!$K$169*INDEX($I$3:$I$7,MATCH("Shea",$H$3:$H$7,0))</f>
        <v>23580.345400547463</v>
      </c>
      <c r="C10" s="2">
        <f t="shared" si="1"/>
        <v>9000.1568803363152</v>
      </c>
      <c r="D10" s="23">
        <f>C10/G1</f>
        <v>1.1250196100420393</v>
      </c>
      <c r="F10">
        <f t="shared" si="0"/>
        <v>9000.1568803363152</v>
      </c>
    </row>
    <row r="11" spans="1:9" ht="16" customHeight="1" x14ac:dyDescent="0.2">
      <c r="A11" s="15">
        <v>9</v>
      </c>
      <c r="B11" s="2">
        <f>'4_BiomassPerHa'!$K$10*INDEX($I$3:$I$7,MATCH("Cashew",$H$3:$H$7,0))+'4_BiomassPerHa'!$K$50*INDEX($I$3:$I$7,MATCH("Dawadawa",$H$3:$H$7,0))+'4_BiomassPerHa'!$K$90*INDEX($I$3:$I$7,MATCH("Mango",$H$3:$H$7,0))+'4_BiomassPerHa'!$K$130*INDEX($I$3:$I$7,MATCH("Moringa",$H$3:$H$7,0))+'4_BiomassPerHa'!$K$170*INDEX($I$3:$I$7,MATCH("Shea",$H$3:$H$7,0))</f>
        <v>34264.249213639159</v>
      </c>
      <c r="C11" s="2">
        <f t="shared" si="1"/>
        <v>10683.903813091696</v>
      </c>
      <c r="D11" s="23">
        <f>C11/G1</f>
        <v>1.3354879766364618</v>
      </c>
      <c r="F11">
        <f t="shared" si="0"/>
        <v>10683.903813091696</v>
      </c>
    </row>
    <row r="12" spans="1:9" ht="16" customHeight="1" x14ac:dyDescent="0.2">
      <c r="A12" s="15">
        <v>10</v>
      </c>
      <c r="B12" s="2">
        <f>'4_BiomassPerHa'!$K$11*INDEX($I$3:$I$7,MATCH("Cashew",$H$3:$H$7,0))+'4_BiomassPerHa'!$K$51*INDEX($I$3:$I$7,MATCH("Dawadawa",$H$3:$H$7,0))+'4_BiomassPerHa'!$K$91*INDEX($I$3:$I$7,MATCH("Mango",$H$3:$H$7,0))+'4_BiomassPerHa'!$K$131*INDEX($I$3:$I$7,MATCH("Moringa",$H$3:$H$7,0))+'4_BiomassPerHa'!$K$171*INDEX($I$3:$I$7,MATCH("Shea",$H$3:$H$7,0))</f>
        <v>45390.937595603224</v>
      </c>
      <c r="C12" s="2">
        <f t="shared" si="1"/>
        <v>11126.688381964064</v>
      </c>
      <c r="D12" s="23">
        <f>C12/G1</f>
        <v>1.390836047745508</v>
      </c>
      <c r="F12">
        <f t="shared" si="0"/>
        <v>11126.688381964064</v>
      </c>
    </row>
    <row r="13" spans="1:9" ht="16" customHeight="1" x14ac:dyDescent="0.2">
      <c r="A13" s="15">
        <v>11</v>
      </c>
      <c r="B13" s="2">
        <f>'4_BiomassPerHa'!$K$12*INDEX($I$3:$I$7,MATCH("Cashew",$H$3:$H$7,0))+'4_BiomassPerHa'!$K$52*INDEX($I$3:$I$7,MATCH("Dawadawa",$H$3:$H$7,0))+'4_BiomassPerHa'!$K$92*INDEX($I$3:$I$7,MATCH("Mango",$H$3:$H$7,0))+'4_BiomassPerHa'!$K$132*INDEX($I$3:$I$7,MATCH("Moringa",$H$3:$H$7,0))+'4_BiomassPerHa'!$K$172*INDEX($I$3:$I$7,MATCH("Shea",$H$3:$H$7,0))</f>
        <v>56320.952211323238</v>
      </c>
      <c r="C13" s="2">
        <f t="shared" si="1"/>
        <v>10930.014615720014</v>
      </c>
      <c r="D13" s="23">
        <f>C13/G1</f>
        <v>1.3662518269650017</v>
      </c>
      <c r="F13">
        <f t="shared" si="0"/>
        <v>10930.014615720014</v>
      </c>
    </row>
    <row r="14" spans="1:9" ht="16" customHeight="1" x14ac:dyDescent="0.2">
      <c r="A14" s="15">
        <v>12</v>
      </c>
      <c r="B14" s="2">
        <f>'4_BiomassPerHa'!$K$13*INDEX($I$3:$I$7,MATCH("Cashew",$H$3:$H$7,0))+'4_BiomassPerHa'!$K$53*INDEX($I$3:$I$7,MATCH("Dawadawa",$H$3:$H$7,0))+'4_BiomassPerHa'!$K$93*INDEX($I$3:$I$7,MATCH("Mango",$H$3:$H$7,0))+'4_BiomassPerHa'!$K$133*INDEX($I$3:$I$7,MATCH("Moringa",$H$3:$H$7,0))+'4_BiomassPerHa'!$K$173*INDEX($I$3:$I$7,MATCH("Shea",$H$3:$H$7,0))</f>
        <v>67237.601674425881</v>
      </c>
      <c r="C14" s="2">
        <f t="shared" si="1"/>
        <v>10916.649463102643</v>
      </c>
      <c r="D14" s="23">
        <f>C14/G1</f>
        <v>1.3645811828878303</v>
      </c>
      <c r="F14">
        <f t="shared" si="0"/>
        <v>10916.649463102643</v>
      </c>
    </row>
    <row r="15" spans="1:9" ht="16" customHeight="1" x14ac:dyDescent="0.2">
      <c r="A15" s="15">
        <v>13</v>
      </c>
      <c r="B15" s="2">
        <f>'4_BiomassPerHa'!$K$14*INDEX($I$3:$I$7,MATCH("Cashew",$H$3:$H$7,0))+'4_BiomassPerHa'!$K$54*INDEX($I$3:$I$7,MATCH("Dawadawa",$H$3:$H$7,0))+'4_BiomassPerHa'!$K$94*INDEX($I$3:$I$7,MATCH("Mango",$H$3:$H$7,0))+'4_BiomassPerHa'!$K$134*INDEX($I$3:$I$7,MATCH("Moringa",$H$3:$H$7,0))+'4_BiomassPerHa'!$K$174*INDEX($I$3:$I$7,MATCH("Shea",$H$3:$H$7,0))</f>
        <v>78755.074234733052</v>
      </c>
      <c r="C15" s="2">
        <f t="shared" si="1"/>
        <v>11517.472560307171</v>
      </c>
      <c r="D15" s="23">
        <f>C15/G1</f>
        <v>1.4396840700383962</v>
      </c>
      <c r="F15">
        <f t="shared" si="0"/>
        <v>11517.472560307171</v>
      </c>
    </row>
    <row r="16" spans="1:9" ht="16" customHeight="1" x14ac:dyDescent="0.2">
      <c r="A16" s="15">
        <v>14</v>
      </c>
      <c r="B16" s="2">
        <f>'4_BiomassPerHa'!$K$15*INDEX($I$3:$I$7,MATCH("Cashew",$H$3:$H$7,0))+'4_BiomassPerHa'!$K$55*INDEX($I$3:$I$7,MATCH("Dawadawa",$H$3:$H$7,0))+'4_BiomassPerHa'!$K$95*INDEX($I$3:$I$7,MATCH("Mango",$H$3:$H$7,0))+'4_BiomassPerHa'!$K$135*INDEX($I$3:$I$7,MATCH("Moringa",$H$3:$H$7,0))+'4_BiomassPerHa'!$K$175*INDEX($I$3:$I$7,MATCH("Shea",$H$3:$H$7,0))</f>
        <v>91527.726550840525</v>
      </c>
      <c r="C16" s="2">
        <f t="shared" si="1"/>
        <v>12772.652316107473</v>
      </c>
      <c r="D16" s="23">
        <f>C16/G1</f>
        <v>1.596581539513434</v>
      </c>
      <c r="F16">
        <f t="shared" si="0"/>
        <v>12772.652316107473</v>
      </c>
    </row>
    <row r="17" spans="1:6" ht="16" customHeight="1" x14ac:dyDescent="0.2">
      <c r="A17" s="15">
        <v>15</v>
      </c>
      <c r="B17" s="2">
        <f>'4_BiomassPerHa'!$K$16*INDEX($I$3:$I$7,MATCH("Cashew",$H$3:$H$7,0))+'4_BiomassPerHa'!$K$56*INDEX($I$3:$I$7,MATCH("Dawadawa",$H$3:$H$7,0))+'4_BiomassPerHa'!$K$96*INDEX($I$3:$I$7,MATCH("Mango",$H$3:$H$7,0))+'4_BiomassPerHa'!$K$136*INDEX($I$3:$I$7,MATCH("Moringa",$H$3:$H$7,0))+'4_BiomassPerHa'!$K$176*INDEX($I$3:$I$7,MATCH("Shea",$H$3:$H$7,0))</f>
        <v>106083.63988257316</v>
      </c>
      <c r="C17" s="2">
        <f t="shared" si="1"/>
        <v>14555.913331732634</v>
      </c>
      <c r="D17" s="23">
        <f>C17/G1</f>
        <v>1.8194891664665791</v>
      </c>
      <c r="F17">
        <f t="shared" si="0"/>
        <v>14555.913331732634</v>
      </c>
    </row>
    <row r="18" spans="1:6" ht="16" customHeight="1" x14ac:dyDescent="0.2">
      <c r="A18" s="15">
        <v>16</v>
      </c>
      <c r="B18" s="2">
        <f>'4_BiomassPerHa'!$K$17*INDEX($I$3:$I$7,MATCH("Cashew",$H$3:$H$7,0))+'4_BiomassPerHa'!$K$57*INDEX($I$3:$I$7,MATCH("Dawadawa",$H$3:$H$7,0))+'4_BiomassPerHa'!$K$97*INDEX($I$3:$I$7,MATCH("Mango",$H$3:$H$7,0))+'4_BiomassPerHa'!$K$137*INDEX($I$3:$I$7,MATCH("Moringa",$H$3:$H$7,0))+'4_BiomassPerHa'!$K$177*INDEX($I$3:$I$7,MATCH("Shea",$H$3:$H$7,0))</f>
        <v>122907.33887163263</v>
      </c>
      <c r="C18" s="2">
        <f t="shared" si="1"/>
        <v>16823.69898905947</v>
      </c>
      <c r="D18" s="23">
        <f>C18/G1</f>
        <v>2.1029623736324337</v>
      </c>
      <c r="F18">
        <f t="shared" si="0"/>
        <v>16823.69898905947</v>
      </c>
    </row>
    <row r="19" spans="1:6" ht="16" customHeight="1" x14ac:dyDescent="0.2">
      <c r="A19" s="15">
        <v>17</v>
      </c>
      <c r="B19" s="2">
        <f>'4_BiomassPerHa'!$K$18*INDEX($I$3:$I$7,MATCH("Cashew",$H$3:$H$7,0))+'4_BiomassPerHa'!$K$58*INDEX($I$3:$I$7,MATCH("Dawadawa",$H$3:$H$7,0))+'4_BiomassPerHa'!$K$98*INDEX($I$3:$I$7,MATCH("Mango",$H$3:$H$7,0))+'4_BiomassPerHa'!$K$138*INDEX($I$3:$I$7,MATCH("Moringa",$H$3:$H$7,0))+'4_BiomassPerHa'!$K$178*INDEX($I$3:$I$7,MATCH("Shea",$H$3:$H$7,0))</f>
        <v>142227.59496246339</v>
      </c>
      <c r="C19" s="2">
        <f t="shared" si="1"/>
        <v>19320.256090830764</v>
      </c>
      <c r="D19" s="23">
        <f>C19/G1</f>
        <v>2.415032011353845</v>
      </c>
      <c r="F19">
        <f t="shared" si="0"/>
        <v>19320.256090830764</v>
      </c>
    </row>
    <row r="20" spans="1:6" ht="16" customHeight="1" x14ac:dyDescent="0.2">
      <c r="A20" s="15">
        <v>18</v>
      </c>
      <c r="B20" s="2">
        <f>'4_BiomassPerHa'!$K$19*INDEX($I$3:$I$7,MATCH("Cashew",$H$3:$H$7,0))+'4_BiomassPerHa'!$K$59*INDEX($I$3:$I$7,MATCH("Dawadawa",$H$3:$H$7,0))+'4_BiomassPerHa'!$K$99*INDEX($I$3:$I$7,MATCH("Mango",$H$3:$H$7,0))+'4_BiomassPerHa'!$K$139*INDEX($I$3:$I$7,MATCH("Moringa",$H$3:$H$7,0))+'4_BiomassPerHa'!$K$179*INDEX($I$3:$I$7,MATCH("Shea",$H$3:$H$7,0))</f>
        <v>164015.27380675654</v>
      </c>
      <c r="C20" s="2">
        <f t="shared" si="1"/>
        <v>21787.678844293143</v>
      </c>
      <c r="D20" s="23">
        <f>C20/G1</f>
        <v>2.7234598555366425</v>
      </c>
      <c r="F20">
        <f t="shared" si="0"/>
        <v>21787.678844293143</v>
      </c>
    </row>
    <row r="21" spans="1:6" ht="16" customHeight="1" x14ac:dyDescent="0.2">
      <c r="A21" s="15">
        <v>19</v>
      </c>
      <c r="B21" s="2">
        <f>'4_BiomassPerHa'!$K$20*INDEX($I$3:$I$7,MATCH("Cashew",$H$3:$H$7,0))+'4_BiomassPerHa'!$K$60*INDEX($I$3:$I$7,MATCH("Dawadawa",$H$3:$H$7,0))+'4_BiomassPerHa'!$K$100*INDEX($I$3:$I$7,MATCH("Mango",$H$3:$H$7,0))+'4_BiomassPerHa'!$K$140*INDEX($I$3:$I$7,MATCH("Moringa",$H$3:$H$7,0))+'4_BiomassPerHa'!$K$180*INDEX($I$3:$I$7,MATCH("Shea",$H$3:$H$7,0))</f>
        <v>188151.76260030226</v>
      </c>
      <c r="C21" s="2">
        <f t="shared" si="1"/>
        <v>24136.488793545723</v>
      </c>
      <c r="D21" s="23">
        <f>C21/G1</f>
        <v>3.017061099193215</v>
      </c>
      <c r="F21">
        <f t="shared" si="0"/>
        <v>24136.488793545723</v>
      </c>
    </row>
    <row r="22" spans="1:6" ht="16" customHeight="1" x14ac:dyDescent="0.2">
      <c r="A22" s="15">
        <v>20</v>
      </c>
      <c r="B22" s="2">
        <f>'4_BiomassPerHa'!$K$21*INDEX($I$3:$I$7,MATCH("Cashew",$H$3:$H$7,0))+'4_BiomassPerHa'!$K$61*INDEX($I$3:$I$7,MATCH("Dawadawa",$H$3:$H$7,0))+'4_BiomassPerHa'!$K$101*INDEX($I$3:$I$7,MATCH("Mango",$H$3:$H$7,0))+'4_BiomassPerHa'!$K$141*INDEX($I$3:$I$7,MATCH("Moringa",$H$3:$H$7,0))+'4_BiomassPerHa'!$K$181*INDEX($I$3:$I$7,MATCH("Shea",$H$3:$H$7,0))</f>
        <v>214464.54468730371</v>
      </c>
      <c r="C22" s="2">
        <f t="shared" si="1"/>
        <v>26312.782087001455</v>
      </c>
      <c r="D22" s="23">
        <f>C22/G1</f>
        <v>3.2890977608751815</v>
      </c>
      <c r="F22">
        <f t="shared" si="0"/>
        <v>26312.782087001455</v>
      </c>
    </row>
    <row r="23" spans="1:6" ht="16" customHeight="1" x14ac:dyDescent="0.2">
      <c r="A23" s="15">
        <v>21</v>
      </c>
      <c r="B23" s="2">
        <f>'4_BiomassPerHa'!$K$22*INDEX($I$3:$I$7,MATCH("Cashew",$H$3:$H$7,0))+'4_BiomassPerHa'!$K$62*INDEX($I$3:$I$7,MATCH("Dawadawa",$H$3:$H$7,0))+'4_BiomassPerHa'!$K$102*INDEX($I$3:$I$7,MATCH("Mango",$H$3:$H$7,0))+'4_BiomassPerHa'!$K$142*INDEX($I$3:$I$7,MATCH("Moringa",$H$3:$H$7,0))+'4_BiomassPerHa'!$K$182*INDEX($I$3:$I$7,MATCH("Shea",$H$3:$H$7,0))</f>
        <v>241691.86724487256</v>
      </c>
      <c r="C23" s="2">
        <f t="shared" si="1"/>
        <v>27227.322557568841</v>
      </c>
      <c r="D23" s="23">
        <f>C23/G1</f>
        <v>3.4034153196961046</v>
      </c>
      <c r="F23">
        <f t="shared" si="0"/>
        <v>27227.322557568841</v>
      </c>
    </row>
    <row r="24" spans="1:6" ht="16" customHeight="1" x14ac:dyDescent="0.2">
      <c r="A24" s="15">
        <v>22</v>
      </c>
      <c r="B24" s="2">
        <f>'4_BiomassPerHa'!$K$23*INDEX($I$3:$I$7,MATCH("Cashew",$H$3:$H$7,0))+'4_BiomassPerHa'!$K$63*INDEX($I$3:$I$7,MATCH("Dawadawa",$H$3:$H$7,0))+'4_BiomassPerHa'!$K$103*INDEX($I$3:$I$7,MATCH("Mango",$H$3:$H$7,0))+'4_BiomassPerHa'!$K$143*INDEX($I$3:$I$7,MATCH("Moringa",$H$3:$H$7,0))+'4_BiomassPerHa'!$K$183*INDEX($I$3:$I$7,MATCH("Shea",$H$3:$H$7,0))</f>
        <v>270183.58847242617</v>
      </c>
      <c r="C24" s="2">
        <f t="shared" si="1"/>
        <v>28491.721227553615</v>
      </c>
      <c r="D24" s="23">
        <f>C24/G1</f>
        <v>3.5614651534442014</v>
      </c>
      <c r="F24">
        <f t="shared" si="0"/>
        <v>28491.721227553615</v>
      </c>
    </row>
    <row r="25" spans="1:6" ht="16" customHeight="1" x14ac:dyDescent="0.2">
      <c r="A25" s="15">
        <v>23</v>
      </c>
      <c r="B25" s="2">
        <f>'4_BiomassPerHa'!$K$24*INDEX($I$3:$I$7,MATCH("Cashew",$H$3:$H$7,0))+'4_BiomassPerHa'!$K$64*INDEX($I$3:$I$7,MATCH("Dawadawa",$H$3:$H$7,0))+'4_BiomassPerHa'!$K$104*INDEX($I$3:$I$7,MATCH("Mango",$H$3:$H$7,0))+'4_BiomassPerHa'!$K$144*INDEX($I$3:$I$7,MATCH("Moringa",$H$3:$H$7,0))+'4_BiomassPerHa'!$K$184*INDEX($I$3:$I$7,MATCH("Shea",$H$3:$H$7,0))</f>
        <v>299570.35644439474</v>
      </c>
      <c r="C25" s="2">
        <f t="shared" si="1"/>
        <v>29386.767971968569</v>
      </c>
      <c r="D25" s="23">
        <f>C25/G1</f>
        <v>3.6733459964960709</v>
      </c>
      <c r="F25">
        <f t="shared" si="0"/>
        <v>29386.767971968569</v>
      </c>
    </row>
    <row r="26" spans="1:6" ht="16" customHeight="1" x14ac:dyDescent="0.2">
      <c r="A26" s="15">
        <v>24</v>
      </c>
      <c r="B26" s="2">
        <f>'4_BiomassPerHa'!$K$25*INDEX($I$3:$I$7,MATCH("Cashew",$H$3:$H$7,0))+'4_BiomassPerHa'!$K$65*INDEX($I$3:$I$7,MATCH("Dawadawa",$H$3:$H$7,0))+'4_BiomassPerHa'!$K$105*INDEX($I$3:$I$7,MATCH("Mango",$H$3:$H$7,0))+'4_BiomassPerHa'!$K$145*INDEX($I$3:$I$7,MATCH("Moringa",$H$3:$H$7,0))+'4_BiomassPerHa'!$K$185*INDEX($I$3:$I$7,MATCH("Shea",$H$3:$H$7,0))</f>
        <v>329433.50884641294</v>
      </c>
      <c r="C26" s="2">
        <f t="shared" si="1"/>
        <v>29863.152402018197</v>
      </c>
      <c r="D26" s="23">
        <f>C26/G1</f>
        <v>3.7328940502522743</v>
      </c>
      <c r="F26">
        <f t="shared" si="0"/>
        <v>29863.152402018197</v>
      </c>
    </row>
    <row r="27" spans="1:6" ht="16" customHeight="1" x14ac:dyDescent="0.2">
      <c r="A27" s="15">
        <v>25</v>
      </c>
      <c r="B27" s="2">
        <f>'4_BiomassPerHa'!$K$26*INDEX($I$3:$I$7,MATCH("Cashew",$H$3:$H$7,0))+'4_BiomassPerHa'!$K$66*INDEX($I$3:$I$7,MATCH("Dawadawa",$H$3:$H$7,0))+'4_BiomassPerHa'!$K$106*INDEX($I$3:$I$7,MATCH("Mango",$H$3:$H$7,0))+'4_BiomassPerHa'!$K$146*INDEX($I$3:$I$7,MATCH("Moringa",$H$3:$H$7,0))+'4_BiomassPerHa'!$K$186*INDEX($I$3:$I$7,MATCH("Shea",$H$3:$H$7,0))</f>
        <v>359337.84472420294</v>
      </c>
      <c r="C27" s="2">
        <f t="shared" si="1"/>
        <v>29904.335877789999</v>
      </c>
      <c r="D27" s="23">
        <f>C27/G1</f>
        <v>3.7380419847237496</v>
      </c>
      <c r="F27">
        <f t="shared" si="0"/>
        <v>29904.335877789999</v>
      </c>
    </row>
    <row r="28" spans="1:6" ht="16" customHeight="1" x14ac:dyDescent="0.2">
      <c r="A28" s="15">
        <v>26</v>
      </c>
      <c r="B28" s="2">
        <f>'4_BiomassPerHa'!$K$27*INDEX($I$3:$I$7,MATCH("Cashew",$H$3:$H$7,0))+'4_BiomassPerHa'!$K$67*INDEX($I$3:$I$7,MATCH("Dawadawa",$H$3:$H$7,0))+'4_BiomassPerHa'!$K$107*INDEX($I$3:$I$7,MATCH("Mango",$H$3:$H$7,0))+'4_BiomassPerHa'!$K$147*INDEX($I$3:$I$7,MATCH("Moringa",$H$3:$H$7,0))+'4_BiomassPerHa'!$K$187*INDEX($I$3:$I$7,MATCH("Shea",$H$3:$H$7,0))</f>
        <v>388873.93054430711</v>
      </c>
      <c r="C28" s="2">
        <f t="shared" si="1"/>
        <v>29536.08582010417</v>
      </c>
      <c r="D28" s="23">
        <f>C28/G1</f>
        <v>3.6920107275130207</v>
      </c>
      <c r="F28">
        <f t="shared" si="0"/>
        <v>29536.08582010417</v>
      </c>
    </row>
    <row r="29" spans="1:6" ht="16" customHeight="1" x14ac:dyDescent="0.2">
      <c r="A29" s="15">
        <v>27</v>
      </c>
      <c r="B29" s="2">
        <f>'4_BiomassPerHa'!$K$28*INDEX($I$3:$I$7,MATCH("Cashew",$H$3:$H$7,0))+'4_BiomassPerHa'!$K$68*INDEX($I$3:$I$7,MATCH("Dawadawa",$H$3:$H$7,0))+'4_BiomassPerHa'!$K$108*INDEX($I$3:$I$7,MATCH("Mango",$H$3:$H$7,0))+'4_BiomassPerHa'!$K$148*INDEX($I$3:$I$7,MATCH("Moringa",$H$3:$H$7,0))+'4_BiomassPerHa'!$K$188*INDEX($I$3:$I$7,MATCH("Shea",$H$3:$H$7,0))</f>
        <v>417659.5391941776</v>
      </c>
      <c r="C29" s="2">
        <f t="shared" si="1"/>
        <v>28785.608649870497</v>
      </c>
      <c r="D29" s="23">
        <f>C29/G1</f>
        <v>3.5982010812338117</v>
      </c>
      <c r="F29">
        <f t="shared" si="0"/>
        <v>28785.608649870497</v>
      </c>
    </row>
    <row r="30" spans="1:6" ht="16" customHeight="1" x14ac:dyDescent="0.2">
      <c r="A30" s="15">
        <v>28</v>
      </c>
      <c r="B30" s="2">
        <f>'4_BiomassPerHa'!$K$29*INDEX($I$3:$I$7,MATCH("Cashew",$H$3:$H$7,0))+'4_BiomassPerHa'!$K$69*INDEX($I$3:$I$7,MATCH("Dawadawa",$H$3:$H$7,0))+'4_BiomassPerHa'!$K$109*INDEX($I$3:$I$7,MATCH("Mango",$H$3:$H$7,0))+'4_BiomassPerHa'!$K$149*INDEX($I$3:$I$7,MATCH("Moringa",$H$3:$H$7,0))+'4_BiomassPerHa'!$K$189*INDEX($I$3:$I$7,MATCH("Shea",$H$3:$H$7,0))</f>
        <v>445370.2397573046</v>
      </c>
      <c r="C30" s="2">
        <f t="shared" si="1"/>
        <v>27710.700563127</v>
      </c>
      <c r="D30" s="23">
        <f>C30/G1</f>
        <v>3.4638375703908748</v>
      </c>
      <c r="F30">
        <f t="shared" si="0"/>
        <v>27710.700563127</v>
      </c>
    </row>
    <row r="31" spans="1:6" ht="16" customHeight="1" x14ac:dyDescent="0.2">
      <c r="A31" s="15">
        <v>29</v>
      </c>
      <c r="B31" s="2">
        <f>'4_BiomassPerHa'!$K$30*INDEX($I$3:$I$7,MATCH("Cashew",$H$3:$H$7,0))+'4_BiomassPerHa'!$K$70*INDEX($I$3:$I$7,MATCH("Dawadawa",$H$3:$H$7,0))+'4_BiomassPerHa'!$K$110*INDEX($I$3:$I$7,MATCH("Mango",$H$3:$H$7,0))+'4_BiomassPerHa'!$K$150*INDEX($I$3:$I$7,MATCH("Moringa",$H$3:$H$7,0))+'4_BiomassPerHa'!$K$190*INDEX($I$3:$I$7,MATCH("Shea",$H$3:$H$7,0))</f>
        <v>471725.85155919497</v>
      </c>
      <c r="C31" s="2">
        <f t="shared" si="1"/>
        <v>26355.611801890365</v>
      </c>
      <c r="D31" s="23">
        <f>C31/G1</f>
        <v>3.2944514752362952</v>
      </c>
      <c r="F31">
        <f t="shared" si="0"/>
        <v>26355.611801890365</v>
      </c>
    </row>
    <row r="32" spans="1:6" ht="16" customHeight="1" x14ac:dyDescent="0.2">
      <c r="A32" s="15">
        <v>30</v>
      </c>
      <c r="B32" s="2">
        <f>'4_BiomassPerHa'!$K$31*INDEX($I$3:$I$7,MATCH("Cashew",$H$3:$H$7,0))+'4_BiomassPerHa'!$K$71*INDEX($I$3:$I$7,MATCH("Dawadawa",$H$3:$H$7,0))+'4_BiomassPerHa'!$K$111*INDEX($I$3:$I$7,MATCH("Mango",$H$3:$H$7,0))+'4_BiomassPerHa'!$K$151*INDEX($I$3:$I$7,MATCH("Moringa",$H$3:$H$7,0))+'4_BiomassPerHa'!$K$191*INDEX($I$3:$I$7,MATCH("Shea",$H$3:$H$7,0))</f>
        <v>496556.50028601382</v>
      </c>
      <c r="C32" s="2">
        <f t="shared" si="1"/>
        <v>24830.64872681885</v>
      </c>
      <c r="D32" s="23">
        <f>C32/G1</f>
        <v>3.1038310908523559</v>
      </c>
      <c r="F32">
        <f t="shared" si="0"/>
        <v>24830.64872681885</v>
      </c>
    </row>
    <row r="33" spans="1:7" ht="16" customHeight="1" x14ac:dyDescent="0.2">
      <c r="A33" s="15">
        <v>31</v>
      </c>
      <c r="B33" s="2">
        <f>'4_BiomassPerHa'!$K$32*INDEX($I$3:$I$7,MATCH("Cashew",$H$3:$H$7,0))+'4_BiomassPerHa'!$K$72*INDEX($I$3:$I$7,MATCH("Dawadawa",$H$3:$H$7,0))+'4_BiomassPerHa'!$K$112*INDEX($I$3:$I$7,MATCH("Mango",$H$3:$H$7,0))+'4_BiomassPerHa'!$K$152*INDEX($I$3:$I$7,MATCH("Moringa",$H$3:$H$7,0))+'4_BiomassPerHa'!$K$192*INDEX($I$3:$I$7,MATCH("Shea",$H$3:$H$7,0))</f>
        <v>519738.18029244471</v>
      </c>
      <c r="C33" s="2">
        <f t="shared" si="1"/>
        <v>23181.680006430892</v>
      </c>
      <c r="D33" s="23">
        <f>C33/G1</f>
        <v>2.897710000803861</v>
      </c>
      <c r="F33">
        <f t="shared" si="0"/>
        <v>23181.680006430892</v>
      </c>
    </row>
    <row r="34" spans="1:7" ht="16" customHeight="1" x14ac:dyDescent="0.2">
      <c r="A34" s="15">
        <v>32</v>
      </c>
      <c r="B34" s="2">
        <f>'4_BiomassPerHa'!$K$33*INDEX($I$3:$I$7,MATCH("Cashew",$H$3:$H$7,0))+'4_BiomassPerHa'!$K$73*INDEX($I$3:$I$7,MATCH("Dawadawa",$H$3:$H$7,0))+'4_BiomassPerHa'!$K$113*INDEX($I$3:$I$7,MATCH("Mango",$H$3:$H$7,0))+'4_BiomassPerHa'!$K$153*INDEX($I$3:$I$7,MATCH("Moringa",$H$3:$H$7,0))+'4_BiomassPerHa'!$K$193*INDEX($I$3:$I$7,MATCH("Shea",$H$3:$H$7,0))</f>
        <v>541231.27124139806</v>
      </c>
      <c r="C34" s="2">
        <f t="shared" si="1"/>
        <v>21493.090948953351</v>
      </c>
      <c r="D34" s="23">
        <f>C34/G1</f>
        <v>2.6866363686191685</v>
      </c>
      <c r="F34">
        <f t="shared" si="0"/>
        <v>21493.090948953351</v>
      </c>
    </row>
    <row r="35" spans="1:7" ht="16" customHeight="1" x14ac:dyDescent="0.2">
      <c r="A35" s="15">
        <v>33</v>
      </c>
      <c r="B35" s="2">
        <f>'4_BiomassPerHa'!$K$34*INDEX($I$3:$I$7,MATCH("Cashew",$H$3:$H$7,0))+'4_BiomassPerHa'!$K$74*INDEX($I$3:$I$7,MATCH("Dawadawa",$H$3:$H$7,0))+'4_BiomassPerHa'!$K$114*INDEX($I$3:$I$7,MATCH("Mango",$H$3:$H$7,0))+'4_BiomassPerHa'!$K$154*INDEX($I$3:$I$7,MATCH("Moringa",$H$3:$H$7,0))+'4_BiomassPerHa'!$K$194*INDEX($I$3:$I$7,MATCH("Shea",$H$3:$H$7,0))</f>
        <v>561212.88120397215</v>
      </c>
      <c r="C35" s="2">
        <f t="shared" si="1"/>
        <v>19981.60996257409</v>
      </c>
      <c r="D35" s="23">
        <f>C35/G1</f>
        <v>2.4977012453217609</v>
      </c>
      <c r="F35">
        <f t="shared" si="0"/>
        <v>19981.60996257409</v>
      </c>
    </row>
    <row r="36" spans="1:7" ht="16" customHeight="1" x14ac:dyDescent="0.2">
      <c r="A36" s="15">
        <v>34</v>
      </c>
      <c r="B36" s="2">
        <f>'4_BiomassPerHa'!$K$35*INDEX($I$3:$I$7,MATCH("Cashew",$H$3:$H$7,0))+'4_BiomassPerHa'!$K$75*INDEX($I$3:$I$7,MATCH("Dawadawa",$H$3:$H$7,0))+'4_BiomassPerHa'!$K$115*INDEX($I$3:$I$7,MATCH("Mango",$H$3:$H$7,0))+'4_BiomassPerHa'!$K$155*INDEX($I$3:$I$7,MATCH("Moringa",$H$3:$H$7,0))+'4_BiomassPerHa'!$K$195*INDEX($I$3:$I$7,MATCH("Shea",$H$3:$H$7,0))</f>
        <v>579751.78435262875</v>
      </c>
      <c r="C36" s="2">
        <f t="shared" si="1"/>
        <v>18538.903148656595</v>
      </c>
      <c r="D36" s="23">
        <f>C36/G1</f>
        <v>2.3173628935820743</v>
      </c>
      <c r="F36">
        <f t="shared" si="0"/>
        <v>18538.903148656595</v>
      </c>
    </row>
    <row r="37" spans="1:7" ht="16" customHeight="1" x14ac:dyDescent="0.2">
      <c r="A37" s="15">
        <v>35</v>
      </c>
      <c r="B37" s="2">
        <f>'4_BiomassPerHa'!$K$36*INDEX($I$3:$I$7,MATCH("Cashew",$H$3:$H$7,0))+'4_BiomassPerHa'!$K$76*INDEX($I$3:$I$7,MATCH("Dawadawa",$H$3:$H$7,0))+'4_BiomassPerHa'!$K$116*INDEX($I$3:$I$7,MATCH("Mango",$H$3:$H$7,0))+'4_BiomassPerHa'!$K$156*INDEX($I$3:$I$7,MATCH("Moringa",$H$3:$H$7,0))+'4_BiomassPerHa'!$K$196*INDEX($I$3:$I$7,MATCH("Shea",$H$3:$H$7,0))</f>
        <v>596895.07303858153</v>
      </c>
      <c r="C37" s="2">
        <f t="shared" si="1"/>
        <v>17143.288685952779</v>
      </c>
      <c r="D37" s="23">
        <f>C37/G1</f>
        <v>2.1429110857440969</v>
      </c>
      <c r="F37">
        <f t="shared" si="0"/>
        <v>17143.288685952779</v>
      </c>
    </row>
    <row r="38" spans="1:7" ht="16" customHeight="1" x14ac:dyDescent="0.2">
      <c r="A38" s="15">
        <v>36</v>
      </c>
      <c r="B38" s="2">
        <f>'4_BiomassPerHa'!$K$37*INDEX($I$3:$I$7,MATCH("Cashew",$H$3:$H$7,0))+'4_BiomassPerHa'!$K$77*INDEX($I$3:$I$7,MATCH("Dawadawa",$H$3:$H$7,0))+'4_BiomassPerHa'!$K$117*INDEX($I$3:$I$7,MATCH("Mango",$H$3:$H$7,0))+'4_BiomassPerHa'!$K$157*INDEX($I$3:$I$7,MATCH("Moringa",$H$3:$H$7,0))+'4_BiomassPerHa'!$K$197*INDEX($I$3:$I$7,MATCH("Shea",$H$3:$H$7,0))</f>
        <v>612732.50500096451</v>
      </c>
      <c r="C38" s="2">
        <f t="shared" si="1"/>
        <v>15837.43196238298</v>
      </c>
      <c r="D38" s="23">
        <f>C38/G1</f>
        <v>1.9796789952978722</v>
      </c>
      <c r="F38">
        <f t="shared" si="0"/>
        <v>15837.43196238298</v>
      </c>
    </row>
    <row r="39" spans="1:7" ht="16" customHeight="1" x14ac:dyDescent="0.2">
      <c r="A39" s="15">
        <v>37</v>
      </c>
      <c r="B39" s="2">
        <f>'4_BiomassPerHa'!$K$38*INDEX($I$3:$I$7,MATCH("Cashew",$H$3:$H$7,0))+'4_BiomassPerHa'!$K$78*INDEX($I$3:$I$7,MATCH("Dawadawa",$H$3:$H$7,0))+'4_BiomassPerHa'!$K$118*INDEX($I$3:$I$7,MATCH("Mango",$H$3:$H$7,0))+'4_BiomassPerHa'!$K$158*INDEX($I$3:$I$7,MATCH("Moringa",$H$3:$H$7,0))+'4_BiomassPerHa'!$K$198*INDEX($I$3:$I$7,MATCH("Shea",$H$3:$H$7,0))</f>
        <v>627398.82183900708</v>
      </c>
      <c r="C39" s="2">
        <f t="shared" si="1"/>
        <v>14666.316838042578</v>
      </c>
      <c r="D39" s="23">
        <f>C39/G1</f>
        <v>1.833289604755322</v>
      </c>
      <c r="F39">
        <f t="shared" si="0"/>
        <v>14666.316838042578</v>
      </c>
    </row>
    <row r="40" spans="1:7" ht="16" customHeight="1" x14ac:dyDescent="0.2">
      <c r="A40" s="15">
        <v>38</v>
      </c>
      <c r="B40" s="2">
        <f>'4_BiomassPerHa'!$K$39*INDEX($I$3:$I$7,MATCH("Cashew",$H$3:$H$7,0))+'4_BiomassPerHa'!$K$79*INDEX($I$3:$I$7,MATCH("Dawadawa",$H$3:$H$7,0))+'4_BiomassPerHa'!$K$119*INDEX($I$3:$I$7,MATCH("Mango",$H$3:$H$7,0))+'4_BiomassPerHa'!$K$159*INDEX($I$3:$I$7,MATCH("Moringa",$H$3:$H$7,0))+'4_BiomassPerHa'!$K$199*INDEX($I$3:$I$7,MATCH("Shea",$H$3:$H$7,0))</f>
        <v>641011.35547323129</v>
      </c>
      <c r="C40" s="2">
        <f t="shared" si="1"/>
        <v>13612.533634224208</v>
      </c>
      <c r="D40" s="23">
        <f>C40/G1</f>
        <v>1.7015667042780258</v>
      </c>
      <c r="F40">
        <f t="shared" si="0"/>
        <v>13612.533634224208</v>
      </c>
    </row>
    <row r="41" spans="1:7" ht="16" customHeight="1" x14ac:dyDescent="0.2">
      <c r="A41" s="15">
        <v>39</v>
      </c>
      <c r="B41" s="2">
        <f>'4_BiomassPerHa'!$K$40*INDEX($I$3:$I$7,MATCH("Cashew",$H$3:$H$7,0))+'4_BiomassPerHa'!$K$80*INDEX($I$3:$I$7,MATCH("Dawadawa",$H$3:$H$7,0))+'4_BiomassPerHa'!$K$120*INDEX($I$3:$I$7,MATCH("Mango",$H$3:$H$7,0))+'4_BiomassPerHa'!$K$160*INDEX($I$3:$I$7,MATCH("Moringa",$H$3:$H$7,0))+'4_BiomassPerHa'!$K$200*INDEX($I$3:$I$7,MATCH("Shea",$H$3:$H$7,0))</f>
        <v>653723.3770289768</v>
      </c>
      <c r="C41" s="2">
        <f t="shared" si="1"/>
        <v>12712.021555745509</v>
      </c>
      <c r="D41" s="23">
        <f>C41/G1</f>
        <v>1.5890026944681883</v>
      </c>
      <c r="F41">
        <f t="shared" si="0"/>
        <v>12712.021555745509</v>
      </c>
    </row>
    <row r="42" spans="1:7" ht="16" customHeight="1" x14ac:dyDescent="0.2">
      <c r="A42" s="17">
        <v>40</v>
      </c>
      <c r="B42" s="18">
        <f>'4_BiomassPerHa'!$K$41*INDEX($I$3:$I$7,MATCH("Cashew",$H$3:$H$7,0))+'4_BiomassPerHa'!$K$81*INDEX($I$3:$I$7,MATCH("Dawadawa",$H$3:$H$7,0))+'4_BiomassPerHa'!$K$121*INDEX($I$3:$I$7,MATCH("Mango",$H$3:$H$7,0))+'4_BiomassPerHa'!$K$161*INDEX($I$3:$I$7,MATCH("Moringa",$H$3:$H$7,0))+'4_BiomassPerHa'!$K$201*INDEX($I$3:$I$7,MATCH("Shea",$H$3:$H$7,0))</f>
        <v>665661.82789925067</v>
      </c>
      <c r="C42" s="18">
        <f t="shared" si="1"/>
        <v>11938.450870273868</v>
      </c>
      <c r="D42" s="24">
        <f>C42/G1</f>
        <v>1.4923063587842333</v>
      </c>
      <c r="F42">
        <f t="shared" si="0"/>
        <v>11938.450870273868</v>
      </c>
    </row>
    <row r="43" spans="1:7" x14ac:dyDescent="0.2">
      <c r="F43" s="7">
        <f>SUM(F3:F42)</f>
        <v>665661.82789925067</v>
      </c>
      <c r="G43" s="28" t="s">
        <v>138</v>
      </c>
    </row>
    <row r="44" spans="1:7" x14ac:dyDescent="0.2">
      <c r="F44" s="27">
        <f>F43/A42</f>
        <v>16641.545697481266</v>
      </c>
      <c r="G44" s="28" t="s">
        <v>139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2"/>
  <sheetViews>
    <sheetView showGridLines="0" zoomScale="118" workbookViewId="0">
      <selection activeCell="E4" sqref="E4"/>
    </sheetView>
  </sheetViews>
  <sheetFormatPr baseColWidth="10" defaultColWidth="8.83203125" defaultRowHeight="15" x14ac:dyDescent="0.2"/>
  <cols>
    <col min="1" max="2" width="35" customWidth="1"/>
    <col min="3" max="3" width="45" customWidth="1"/>
  </cols>
  <sheetData>
    <row r="1" spans="1:3" ht="55" customHeight="1" x14ac:dyDescent="0.2">
      <c r="A1" s="29" t="s">
        <v>142</v>
      </c>
      <c r="B1" s="30" t="s">
        <v>135</v>
      </c>
      <c r="C1" s="30" t="s">
        <v>141</v>
      </c>
    </row>
    <row r="2" spans="1:3" ht="36" x14ac:dyDescent="0.2">
      <c r="A2" s="31" t="s">
        <v>83</v>
      </c>
      <c r="B2" s="31" t="s">
        <v>84</v>
      </c>
      <c r="C2" s="31" t="s">
        <v>85</v>
      </c>
    </row>
    <row r="3" spans="1:3" ht="48" x14ac:dyDescent="0.2">
      <c r="A3" s="31" t="s">
        <v>86</v>
      </c>
      <c r="B3" s="31" t="s">
        <v>87</v>
      </c>
      <c r="C3" s="31" t="s">
        <v>88</v>
      </c>
    </row>
    <row r="4" spans="1:3" ht="112" customHeight="1" x14ac:dyDescent="0.2">
      <c r="A4" s="34" t="s">
        <v>89</v>
      </c>
      <c r="B4" s="34" t="s">
        <v>90</v>
      </c>
      <c r="C4" s="34" t="s">
        <v>91</v>
      </c>
    </row>
    <row r="5" spans="1:3" ht="80" customHeight="1" x14ac:dyDescent="0.2">
      <c r="A5" s="32" t="s">
        <v>92</v>
      </c>
      <c r="B5" s="32" t="s">
        <v>93</v>
      </c>
      <c r="C5" s="32" t="s">
        <v>94</v>
      </c>
    </row>
    <row r="6" spans="1:3" ht="32" customHeight="1" x14ac:dyDescent="0.2">
      <c r="A6" s="32" t="s">
        <v>95</v>
      </c>
      <c r="B6" s="32" t="s">
        <v>96</v>
      </c>
      <c r="C6" s="32" t="s">
        <v>97</v>
      </c>
    </row>
    <row r="7" spans="1:3" ht="16" customHeight="1" x14ac:dyDescent="0.2">
      <c r="A7" s="32" t="s">
        <v>98</v>
      </c>
      <c r="B7" s="32" t="s">
        <v>99</v>
      </c>
      <c r="C7" s="32" t="s">
        <v>100</v>
      </c>
    </row>
    <row r="8" spans="1:3" ht="48" customHeight="1" x14ac:dyDescent="0.2">
      <c r="A8" s="32" t="s">
        <v>101</v>
      </c>
      <c r="B8" s="32" t="s">
        <v>102</v>
      </c>
      <c r="C8" s="32" t="s">
        <v>103</v>
      </c>
    </row>
    <row r="9" spans="1:3" ht="48" customHeight="1" x14ac:dyDescent="0.2">
      <c r="A9" s="32" t="s">
        <v>104</v>
      </c>
      <c r="B9" s="32" t="s">
        <v>102</v>
      </c>
      <c r="C9" s="32" t="s">
        <v>105</v>
      </c>
    </row>
    <row r="10" spans="1:3" ht="32" customHeight="1" x14ac:dyDescent="0.2">
      <c r="A10" s="32" t="s">
        <v>106</v>
      </c>
      <c r="B10" s="32" t="s">
        <v>102</v>
      </c>
      <c r="C10" s="32" t="s">
        <v>107</v>
      </c>
    </row>
    <row r="11" spans="1:3" ht="32" customHeight="1" x14ac:dyDescent="0.2">
      <c r="A11" s="32" t="s">
        <v>108</v>
      </c>
      <c r="B11" s="32" t="s">
        <v>109</v>
      </c>
      <c r="C11" s="32" t="s">
        <v>110</v>
      </c>
    </row>
    <row r="12" spans="1:3" ht="32" customHeight="1" x14ac:dyDescent="0.2">
      <c r="A12" s="32" t="s">
        <v>111</v>
      </c>
      <c r="B12" s="32" t="s">
        <v>112</v>
      </c>
      <c r="C12" s="32" t="s">
        <v>113</v>
      </c>
    </row>
    <row r="13" spans="1:3" ht="32" customHeight="1" x14ac:dyDescent="0.2">
      <c r="A13" s="32" t="s">
        <v>114</v>
      </c>
      <c r="B13" s="32" t="s">
        <v>115</v>
      </c>
      <c r="C13" s="32" t="s">
        <v>116</v>
      </c>
    </row>
    <row r="14" spans="1:3" ht="48" customHeight="1" x14ac:dyDescent="0.2">
      <c r="A14" s="32" t="s">
        <v>117</v>
      </c>
      <c r="B14" s="32" t="s">
        <v>118</v>
      </c>
      <c r="C14" s="32" t="s">
        <v>119</v>
      </c>
    </row>
    <row r="15" spans="1:3" x14ac:dyDescent="0.2">
      <c r="A15" s="31"/>
      <c r="B15" s="31"/>
      <c r="C15" s="31"/>
    </row>
    <row r="16" spans="1:3" x14ac:dyDescent="0.2">
      <c r="A16" s="33" t="s">
        <v>140</v>
      </c>
      <c r="B16" s="33"/>
      <c r="C16" s="33"/>
    </row>
    <row r="17" spans="1:3" x14ac:dyDescent="0.2">
      <c r="A17" s="35" t="s">
        <v>1</v>
      </c>
      <c r="B17" s="35" t="s">
        <v>120</v>
      </c>
      <c r="C17" s="35" t="s">
        <v>121</v>
      </c>
    </row>
    <row r="18" spans="1:3" ht="64" customHeight="1" x14ac:dyDescent="0.2">
      <c r="A18" s="31" t="s">
        <v>9</v>
      </c>
      <c r="B18" s="31" t="s">
        <v>122</v>
      </c>
      <c r="C18" s="31" t="s">
        <v>123</v>
      </c>
    </row>
    <row r="19" spans="1:3" ht="48" customHeight="1" x14ac:dyDescent="0.2">
      <c r="A19" s="31" t="s">
        <v>19</v>
      </c>
      <c r="B19" s="31" t="s">
        <v>124</v>
      </c>
      <c r="C19" s="31" t="s">
        <v>125</v>
      </c>
    </row>
    <row r="20" spans="1:3" ht="48" customHeight="1" x14ac:dyDescent="0.2">
      <c r="A20" s="31" t="s">
        <v>15</v>
      </c>
      <c r="B20" s="31" t="s">
        <v>126</v>
      </c>
      <c r="C20" s="31" t="s">
        <v>127</v>
      </c>
    </row>
    <row r="21" spans="1:3" ht="80" customHeight="1" x14ac:dyDescent="0.2">
      <c r="A21" s="31" t="s">
        <v>128</v>
      </c>
      <c r="B21" s="31" t="s">
        <v>129</v>
      </c>
      <c r="C21" s="31" t="s">
        <v>130</v>
      </c>
    </row>
    <row r="22" spans="1:3" ht="24" x14ac:dyDescent="0.2">
      <c r="A22" s="31" t="s">
        <v>131</v>
      </c>
      <c r="B22" s="31" t="s">
        <v>132</v>
      </c>
      <c r="C22" s="31" t="s">
        <v>133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0_ReadMe</vt:lpstr>
      <vt:lpstr>1_PlantingPlan</vt:lpstr>
      <vt:lpstr>2_Assumptions</vt:lpstr>
      <vt:lpstr>3_GrowthInputs</vt:lpstr>
      <vt:lpstr>4_BiomassPerHa</vt:lpstr>
      <vt:lpstr>5_Eq49_Output</vt:lpstr>
      <vt:lpstr>6_Literature_Citations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Daherkar, Amod A</cp:lastModifiedBy>
  <dcterms:created xsi:type="dcterms:W3CDTF">2025-12-12T18:12:52Z</dcterms:created>
  <dcterms:modified xsi:type="dcterms:W3CDTF">2025-12-16T18:38:05Z</dcterms:modified>
</cp:coreProperties>
</file>