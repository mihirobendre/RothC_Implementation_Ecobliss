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hirbendre/Documents/Gazelle/Gazelle_2026/Ghana Project/SOC_Models/RothC_Implementation_Ecobliss/"/>
    </mc:Choice>
  </mc:AlternateContent>
  <xr:revisionPtr revIDLastSave="0" documentId="13_ncr:1_{2632F0D9-34F0-EC4F-AFB0-A715EDE75390}" xr6:coauthVersionLast="47" xr6:coauthVersionMax="47" xr10:uidLastSave="{00000000-0000-0000-0000-000000000000}"/>
  <bookViews>
    <workbookView xWindow="-38400" yWindow="-10800" windowWidth="38400" windowHeight="21600" activeTab="6" xr2:uid="{12528151-224E-E543-B71F-4D1C49561CCD}"/>
  </bookViews>
  <sheets>
    <sheet name="Soil_Classes" sheetId="2" r:id="rId1"/>
    <sheet name="Area_Phases" sheetId="3" r:id="rId2"/>
    <sheet name="Croplands" sheetId="1" r:id="rId3"/>
    <sheet name="Grasslands" sheetId="4" r:id="rId4"/>
    <sheet name="Agroforestry" sheetId="5" r:id="rId5"/>
    <sheet name="QA3" sheetId="6" r:id="rId6"/>
    <sheet name="Total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5" i="7" l="1"/>
  <c r="N27" i="7"/>
  <c r="N29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8" i="7"/>
  <c r="N30" i="7"/>
  <c r="N31" i="7"/>
  <c r="N32" i="7"/>
  <c r="N33" i="7"/>
  <c r="N34" i="7"/>
  <c r="N35" i="7"/>
  <c r="N36" i="7"/>
  <c r="N37" i="7"/>
  <c r="N38" i="7"/>
  <c r="N39" i="7"/>
  <c r="N40" i="7"/>
  <c r="N41" i="7"/>
  <c r="N42" i="7"/>
  <c r="N43" i="7"/>
  <c r="N44" i="7"/>
  <c r="N5" i="7"/>
  <c r="K44" i="7"/>
  <c r="K7" i="7"/>
  <c r="K8" i="7"/>
  <c r="K9" i="7"/>
  <c r="K10" i="7"/>
  <c r="K11" i="7"/>
  <c r="K12" i="7"/>
  <c r="K13" i="7"/>
  <c r="K14" i="7"/>
  <c r="K15" i="7"/>
  <c r="K16" i="7"/>
  <c r="K17" i="7"/>
  <c r="K18" i="7"/>
  <c r="K19" i="7"/>
  <c r="K20" i="7"/>
  <c r="K21" i="7"/>
  <c r="K22" i="7"/>
  <c r="K23" i="7"/>
  <c r="K24" i="7"/>
  <c r="K25" i="7"/>
  <c r="K26" i="7"/>
  <c r="K27" i="7"/>
  <c r="K28" i="7"/>
  <c r="K29" i="7"/>
  <c r="K30" i="7"/>
  <c r="K31" i="7"/>
  <c r="K32" i="7"/>
  <c r="K33" i="7"/>
  <c r="K34" i="7"/>
  <c r="K35" i="7"/>
  <c r="K36" i="7"/>
  <c r="K37" i="7"/>
  <c r="K38" i="7"/>
  <c r="K39" i="7"/>
  <c r="K40" i="7"/>
  <c r="K41" i="7"/>
  <c r="K42" i="7"/>
  <c r="K43" i="7"/>
  <c r="K6" i="7"/>
  <c r="K5" i="7"/>
  <c r="F6" i="7"/>
  <c r="L6" i="7" s="1"/>
  <c r="F7" i="7"/>
  <c r="L7" i="7" s="1"/>
  <c r="F8" i="7"/>
  <c r="L8" i="7" s="1"/>
  <c r="F9" i="7"/>
  <c r="L9" i="7" s="1"/>
  <c r="F10" i="7"/>
  <c r="L10" i="7" s="1"/>
  <c r="F11" i="7"/>
  <c r="L11" i="7" s="1"/>
  <c r="F12" i="7"/>
  <c r="L12" i="7" s="1"/>
  <c r="F13" i="7"/>
  <c r="F14" i="7"/>
  <c r="L14" i="7" s="1"/>
  <c r="F15" i="7"/>
  <c r="L15" i="7" s="1"/>
  <c r="F16" i="7"/>
  <c r="L16" i="7" s="1"/>
  <c r="F17" i="7"/>
  <c r="L17" i="7" s="1"/>
  <c r="F18" i="7"/>
  <c r="L18" i="7" s="1"/>
  <c r="F19" i="7"/>
  <c r="L19" i="7" s="1"/>
  <c r="F20" i="7"/>
  <c r="L20" i="7" s="1"/>
  <c r="F21" i="7"/>
  <c r="L21" i="7" s="1"/>
  <c r="F22" i="7"/>
  <c r="L22" i="7" s="1"/>
  <c r="F23" i="7"/>
  <c r="L23" i="7" s="1"/>
  <c r="F24" i="7"/>
  <c r="L24" i="7" s="1"/>
  <c r="F25" i="7"/>
  <c r="L25" i="7" s="1"/>
  <c r="F26" i="7"/>
  <c r="L26" i="7" s="1"/>
  <c r="F27" i="7"/>
  <c r="L27" i="7" s="1"/>
  <c r="F28" i="7"/>
  <c r="L28" i="7" s="1"/>
  <c r="F29" i="7"/>
  <c r="L29" i="7" s="1"/>
  <c r="F30" i="7"/>
  <c r="L30" i="7" s="1"/>
  <c r="F31" i="7"/>
  <c r="L31" i="7" s="1"/>
  <c r="F32" i="7"/>
  <c r="L32" i="7" s="1"/>
  <c r="F33" i="7"/>
  <c r="L33" i="7" s="1"/>
  <c r="F34" i="7"/>
  <c r="L34" i="7" s="1"/>
  <c r="F35" i="7"/>
  <c r="L35" i="7" s="1"/>
  <c r="F36" i="7"/>
  <c r="L36" i="7" s="1"/>
  <c r="F37" i="7"/>
  <c r="L37" i="7" s="1"/>
  <c r="F38" i="7"/>
  <c r="L38" i="7" s="1"/>
  <c r="F39" i="7"/>
  <c r="L39" i="7" s="1"/>
  <c r="F40" i="7"/>
  <c r="L40" i="7" s="1"/>
  <c r="F41" i="7"/>
  <c r="L41" i="7" s="1"/>
  <c r="F42" i="7"/>
  <c r="L42" i="7" s="1"/>
  <c r="F43" i="7"/>
  <c r="L43" i="7" s="1"/>
  <c r="F44" i="7"/>
  <c r="L44" i="7" s="1"/>
  <c r="F5" i="7"/>
  <c r="L5" i="7" s="1"/>
  <c r="E6" i="7"/>
  <c r="E7" i="7"/>
  <c r="E8" i="7"/>
  <c r="E9" i="7"/>
  <c r="E10" i="7"/>
  <c r="E11" i="7"/>
  <c r="E12" i="7"/>
  <c r="E13" i="7"/>
  <c r="E14" i="7"/>
  <c r="E15" i="7"/>
  <c r="E16" i="7"/>
  <c r="E17" i="7"/>
  <c r="E18" i="7"/>
  <c r="E19" i="7"/>
  <c r="E20" i="7"/>
  <c r="E21" i="7"/>
  <c r="M21" i="7" s="1"/>
  <c r="E22" i="7"/>
  <c r="E23" i="7"/>
  <c r="E24" i="7"/>
  <c r="E25" i="7"/>
  <c r="E26" i="7"/>
  <c r="E27" i="7"/>
  <c r="E28" i="7"/>
  <c r="E29" i="7"/>
  <c r="M29" i="7" s="1"/>
  <c r="E30" i="7"/>
  <c r="E31" i="7"/>
  <c r="E32" i="7"/>
  <c r="E33" i="7"/>
  <c r="E34" i="7"/>
  <c r="E35" i="7"/>
  <c r="E36" i="7"/>
  <c r="E37" i="7"/>
  <c r="M37" i="7" s="1"/>
  <c r="E38" i="7"/>
  <c r="E39" i="7"/>
  <c r="E40" i="7"/>
  <c r="E41" i="7"/>
  <c r="E42" i="7"/>
  <c r="E43" i="7"/>
  <c r="E44" i="7"/>
  <c r="E5" i="7"/>
  <c r="M5" i="7" s="1"/>
  <c r="D5" i="5"/>
  <c r="D4" i="5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D35" i="7"/>
  <c r="D36" i="7"/>
  <c r="D37" i="7"/>
  <c r="D38" i="7"/>
  <c r="D39" i="7"/>
  <c r="D40" i="7"/>
  <c r="D41" i="7"/>
  <c r="D42" i="7"/>
  <c r="D43" i="7"/>
  <c r="D44" i="7"/>
  <c r="D5" i="7"/>
  <c r="E6" i="4"/>
  <c r="E7" i="4"/>
  <c r="J11" i="4" s="1"/>
  <c r="E8" i="4"/>
  <c r="E9" i="4"/>
  <c r="E10" i="4"/>
  <c r="J14" i="4" s="1"/>
  <c r="E11" i="4"/>
  <c r="E12" i="4"/>
  <c r="E13" i="4"/>
  <c r="E14" i="4"/>
  <c r="E15" i="4"/>
  <c r="E16" i="4"/>
  <c r="E17" i="4"/>
  <c r="E18" i="4"/>
  <c r="F18" i="4" s="1"/>
  <c r="E19" i="4"/>
  <c r="F19" i="4" s="1"/>
  <c r="E20" i="4"/>
  <c r="E21" i="4"/>
  <c r="E22" i="4"/>
  <c r="E23" i="4"/>
  <c r="E24" i="4"/>
  <c r="E25" i="4"/>
  <c r="E26" i="4"/>
  <c r="E27" i="4"/>
  <c r="J31" i="4" s="1"/>
  <c r="E28" i="4"/>
  <c r="I31" i="4" s="1"/>
  <c r="E29" i="4"/>
  <c r="E30" i="4"/>
  <c r="E31" i="4"/>
  <c r="I34" i="4" s="1"/>
  <c r="E32" i="4"/>
  <c r="E33" i="4"/>
  <c r="E34" i="4"/>
  <c r="J38" i="4" s="1"/>
  <c r="E35" i="4"/>
  <c r="F35" i="4" s="1"/>
  <c r="E36" i="4"/>
  <c r="E37" i="4"/>
  <c r="E38" i="4"/>
  <c r="E39" i="4"/>
  <c r="E40" i="4"/>
  <c r="E41" i="4"/>
  <c r="E42" i="4"/>
  <c r="E43" i="4"/>
  <c r="E44" i="4"/>
  <c r="E5" i="4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33" i="7"/>
  <c r="C34" i="7"/>
  <c r="C35" i="7"/>
  <c r="C36" i="7"/>
  <c r="C37" i="7"/>
  <c r="C38" i="7"/>
  <c r="C39" i="7"/>
  <c r="C40" i="7"/>
  <c r="C41" i="7"/>
  <c r="C42" i="7"/>
  <c r="C43" i="7"/>
  <c r="C44" i="7"/>
  <c r="C6" i="7"/>
  <c r="C5" i="7"/>
  <c r="S7" i="1"/>
  <c r="T7" i="1" s="1"/>
  <c r="R44" i="1"/>
  <c r="O5" i="1"/>
  <c r="P5" i="1"/>
  <c r="Q5" i="1"/>
  <c r="R5" i="1"/>
  <c r="O6" i="1"/>
  <c r="P6" i="1"/>
  <c r="Q6" i="1"/>
  <c r="R6" i="1"/>
  <c r="O7" i="1"/>
  <c r="P7" i="1"/>
  <c r="Q7" i="1"/>
  <c r="R7" i="1"/>
  <c r="O8" i="1"/>
  <c r="P8" i="1"/>
  <c r="Q8" i="1"/>
  <c r="R8" i="1"/>
  <c r="O9" i="1"/>
  <c r="P9" i="1"/>
  <c r="Q9" i="1"/>
  <c r="R9" i="1"/>
  <c r="O10" i="1"/>
  <c r="P10" i="1"/>
  <c r="Q10" i="1"/>
  <c r="R10" i="1"/>
  <c r="O11" i="1"/>
  <c r="P11" i="1"/>
  <c r="Q11" i="1"/>
  <c r="R11" i="1"/>
  <c r="O12" i="1"/>
  <c r="P12" i="1"/>
  <c r="Q12" i="1"/>
  <c r="R12" i="1"/>
  <c r="O13" i="1"/>
  <c r="P13" i="1"/>
  <c r="Q13" i="1"/>
  <c r="R13" i="1"/>
  <c r="O14" i="1"/>
  <c r="P14" i="1"/>
  <c r="Q14" i="1"/>
  <c r="R14" i="1"/>
  <c r="O15" i="1"/>
  <c r="P15" i="1"/>
  <c r="Q15" i="1"/>
  <c r="R15" i="1"/>
  <c r="O16" i="1"/>
  <c r="P16" i="1"/>
  <c r="Q16" i="1"/>
  <c r="R16" i="1"/>
  <c r="O17" i="1"/>
  <c r="P17" i="1"/>
  <c r="Q17" i="1"/>
  <c r="R17" i="1"/>
  <c r="O18" i="1"/>
  <c r="P18" i="1"/>
  <c r="Q18" i="1"/>
  <c r="R18" i="1"/>
  <c r="O19" i="1"/>
  <c r="P19" i="1"/>
  <c r="Q19" i="1"/>
  <c r="R19" i="1"/>
  <c r="O20" i="1"/>
  <c r="P20" i="1"/>
  <c r="Q20" i="1"/>
  <c r="R20" i="1"/>
  <c r="O21" i="1"/>
  <c r="P21" i="1"/>
  <c r="Q21" i="1"/>
  <c r="R21" i="1"/>
  <c r="O22" i="1"/>
  <c r="P22" i="1"/>
  <c r="Q22" i="1"/>
  <c r="R22" i="1"/>
  <c r="O23" i="1"/>
  <c r="P23" i="1"/>
  <c r="Q23" i="1"/>
  <c r="R23" i="1"/>
  <c r="O24" i="1"/>
  <c r="P24" i="1"/>
  <c r="Q24" i="1"/>
  <c r="R24" i="1"/>
  <c r="O25" i="1"/>
  <c r="P25" i="1"/>
  <c r="Q25" i="1"/>
  <c r="R25" i="1"/>
  <c r="O26" i="1"/>
  <c r="P26" i="1"/>
  <c r="Q26" i="1"/>
  <c r="R26" i="1"/>
  <c r="O27" i="1"/>
  <c r="P27" i="1"/>
  <c r="Q27" i="1"/>
  <c r="R27" i="1"/>
  <c r="O28" i="1"/>
  <c r="P28" i="1"/>
  <c r="Q28" i="1"/>
  <c r="R28" i="1"/>
  <c r="O29" i="1"/>
  <c r="P29" i="1"/>
  <c r="Q29" i="1"/>
  <c r="R29" i="1"/>
  <c r="O30" i="1"/>
  <c r="P30" i="1"/>
  <c r="Q30" i="1"/>
  <c r="R30" i="1"/>
  <c r="O31" i="1"/>
  <c r="P31" i="1"/>
  <c r="Q31" i="1"/>
  <c r="R31" i="1"/>
  <c r="O32" i="1"/>
  <c r="P32" i="1"/>
  <c r="Q32" i="1"/>
  <c r="R32" i="1"/>
  <c r="O33" i="1"/>
  <c r="P33" i="1"/>
  <c r="Q33" i="1"/>
  <c r="R33" i="1"/>
  <c r="O34" i="1"/>
  <c r="P34" i="1"/>
  <c r="Q34" i="1"/>
  <c r="R34" i="1"/>
  <c r="O35" i="1"/>
  <c r="P35" i="1"/>
  <c r="Q35" i="1"/>
  <c r="R35" i="1"/>
  <c r="O36" i="1"/>
  <c r="P36" i="1"/>
  <c r="Q36" i="1"/>
  <c r="R36" i="1"/>
  <c r="O37" i="1"/>
  <c r="P37" i="1"/>
  <c r="Q37" i="1"/>
  <c r="R37" i="1"/>
  <c r="O38" i="1"/>
  <c r="P38" i="1"/>
  <c r="Q38" i="1"/>
  <c r="R38" i="1"/>
  <c r="O39" i="1"/>
  <c r="P39" i="1"/>
  <c r="Q39" i="1"/>
  <c r="R39" i="1"/>
  <c r="O40" i="1"/>
  <c r="P40" i="1"/>
  <c r="Q40" i="1"/>
  <c r="R40" i="1"/>
  <c r="O41" i="1"/>
  <c r="P41" i="1"/>
  <c r="Q41" i="1"/>
  <c r="R41" i="1"/>
  <c r="O42" i="1"/>
  <c r="P42" i="1"/>
  <c r="Q42" i="1"/>
  <c r="R42" i="1"/>
  <c r="O43" i="1"/>
  <c r="P43" i="1"/>
  <c r="Q43" i="1"/>
  <c r="R43" i="1"/>
  <c r="O44" i="1"/>
  <c r="P44" i="1"/>
  <c r="Q44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5" i="1"/>
  <c r="C15" i="3"/>
  <c r="H10" i="4"/>
  <c r="J13" i="4"/>
  <c r="G16" i="4"/>
  <c r="H18" i="4"/>
  <c r="J21" i="4"/>
  <c r="J27" i="4"/>
  <c r="H26" i="4"/>
  <c r="J29" i="4"/>
  <c r="J30" i="4"/>
  <c r="J35" i="4"/>
  <c r="H34" i="4"/>
  <c r="J37" i="4"/>
  <c r="I42" i="4"/>
  <c r="H42" i="4"/>
  <c r="F41" i="4"/>
  <c r="F42" i="4"/>
  <c r="F15" i="6"/>
  <c r="F5" i="6"/>
  <c r="F6" i="6"/>
  <c r="F7" i="6"/>
  <c r="F8" i="6"/>
  <c r="F9" i="6"/>
  <c r="F10" i="6"/>
  <c r="F11" i="6"/>
  <c r="F12" i="6"/>
  <c r="F13" i="6"/>
  <c r="F14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" i="6"/>
  <c r="F3" i="6"/>
  <c r="D45" i="5"/>
  <c r="D3" i="5"/>
  <c r="D42" i="5" s="1"/>
  <c r="D40" i="5"/>
  <c r="D39" i="5"/>
  <c r="D38" i="5"/>
  <c r="D37" i="5"/>
  <c r="D34" i="5"/>
  <c r="D33" i="5"/>
  <c r="D32" i="5"/>
  <c r="D31" i="5"/>
  <c r="D30" i="5"/>
  <c r="D29" i="5"/>
  <c r="D26" i="5"/>
  <c r="D25" i="5"/>
  <c r="D24" i="5"/>
  <c r="D23" i="5"/>
  <c r="D22" i="5"/>
  <c r="D21" i="5"/>
  <c r="D18" i="5"/>
  <c r="D17" i="5"/>
  <c r="D16" i="5"/>
  <c r="D15" i="5"/>
  <c r="D14" i="5"/>
  <c r="D13" i="5"/>
  <c r="D10" i="5"/>
  <c r="D9" i="5"/>
  <c r="D8" i="5"/>
  <c r="D7" i="5"/>
  <c r="D6" i="5"/>
  <c r="D36" i="5"/>
  <c r="C13" i="3"/>
  <c r="H8" i="4"/>
  <c r="J42" i="4"/>
  <c r="G39" i="4"/>
  <c r="F38" i="4"/>
  <c r="J36" i="4"/>
  <c r="J34" i="4"/>
  <c r="G31" i="4"/>
  <c r="F30" i="4"/>
  <c r="J26" i="4"/>
  <c r="I25" i="4"/>
  <c r="I23" i="4"/>
  <c r="G23" i="4"/>
  <c r="F22" i="4"/>
  <c r="J20" i="4"/>
  <c r="J18" i="4"/>
  <c r="I17" i="4"/>
  <c r="H16" i="4"/>
  <c r="J12" i="4"/>
  <c r="I9" i="4"/>
  <c r="H9" i="4"/>
  <c r="G9" i="4"/>
  <c r="F6" i="4"/>
  <c r="G4" i="4"/>
  <c r="G15" i="4" s="1"/>
  <c r="J4" i="4"/>
  <c r="J10" i="4" s="1"/>
  <c r="I4" i="4"/>
  <c r="I41" i="4" s="1"/>
  <c r="H4" i="4"/>
  <c r="H24" i="4" s="1"/>
  <c r="F4" i="4"/>
  <c r="F14" i="4" s="1"/>
  <c r="T4" i="1"/>
  <c r="M20" i="7" l="1"/>
  <c r="M28" i="7"/>
  <c r="M44" i="7"/>
  <c r="M12" i="7"/>
  <c r="M36" i="7"/>
  <c r="E46" i="7"/>
  <c r="F46" i="7"/>
  <c r="M35" i="7"/>
  <c r="M34" i="7"/>
  <c r="M10" i="7"/>
  <c r="M41" i="7"/>
  <c r="M25" i="7"/>
  <c r="M17" i="7"/>
  <c r="M9" i="7"/>
  <c r="M40" i="7"/>
  <c r="M32" i="7"/>
  <c r="M24" i="7"/>
  <c r="M16" i="7"/>
  <c r="M8" i="7"/>
  <c r="D46" i="7"/>
  <c r="M27" i="7"/>
  <c r="M11" i="7"/>
  <c r="M18" i="7"/>
  <c r="M33" i="7"/>
  <c r="M39" i="7"/>
  <c r="M31" i="7"/>
  <c r="M23" i="7"/>
  <c r="M15" i="7"/>
  <c r="M7" i="7"/>
  <c r="M43" i="7"/>
  <c r="M19" i="7"/>
  <c r="M42" i="7"/>
  <c r="M26" i="7"/>
  <c r="C46" i="7"/>
  <c r="M38" i="7"/>
  <c r="M30" i="7"/>
  <c r="M22" i="7"/>
  <c r="M14" i="7"/>
  <c r="M6" i="7"/>
  <c r="L13" i="7"/>
  <c r="M13" i="7"/>
  <c r="G27" i="4"/>
  <c r="H43" i="4"/>
  <c r="G35" i="4"/>
  <c r="I11" i="4"/>
  <c r="G17" i="4"/>
  <c r="I20" i="4"/>
  <c r="G25" i="4"/>
  <c r="J28" i="4"/>
  <c r="I33" i="4"/>
  <c r="I36" i="4"/>
  <c r="G7" i="4"/>
  <c r="G44" i="4"/>
  <c r="G36" i="4"/>
  <c r="G28" i="4"/>
  <c r="G20" i="4"/>
  <c r="G12" i="4"/>
  <c r="H12" i="4"/>
  <c r="F40" i="4"/>
  <c r="G8" i="4"/>
  <c r="J9" i="4"/>
  <c r="H19" i="4"/>
  <c r="J23" i="4"/>
  <c r="I27" i="4"/>
  <c r="F32" i="4"/>
  <c r="H35" i="4"/>
  <c r="G40" i="4"/>
  <c r="H44" i="4"/>
  <c r="G43" i="4"/>
  <c r="F16" i="4"/>
  <c r="I19" i="4"/>
  <c r="F24" i="4"/>
  <c r="H28" i="4"/>
  <c r="H32" i="4"/>
  <c r="I35" i="4"/>
  <c r="H40" i="4"/>
  <c r="I44" i="4"/>
  <c r="G6" i="4"/>
  <c r="L6" i="4" s="1"/>
  <c r="H39" i="4"/>
  <c r="H31" i="4"/>
  <c r="H23" i="4"/>
  <c r="H15" i="4"/>
  <c r="G19" i="4"/>
  <c r="H27" i="4"/>
  <c r="I43" i="4"/>
  <c r="G11" i="4"/>
  <c r="H20" i="4"/>
  <c r="I28" i="4"/>
  <c r="G33" i="4"/>
  <c r="H36" i="4"/>
  <c r="G41" i="4"/>
  <c r="J44" i="4"/>
  <c r="F44" i="4"/>
  <c r="G37" i="4"/>
  <c r="H30" i="4"/>
  <c r="G21" i="4"/>
  <c r="H14" i="4"/>
  <c r="L35" i="4"/>
  <c r="I10" i="4"/>
  <c r="F39" i="4"/>
  <c r="H17" i="4"/>
  <c r="J39" i="4"/>
  <c r="F5" i="4"/>
  <c r="L5" i="4" s="1"/>
  <c r="I26" i="4"/>
  <c r="G32" i="4"/>
  <c r="H41" i="4"/>
  <c r="J43" i="4"/>
  <c r="F15" i="4"/>
  <c r="J19" i="4"/>
  <c r="H7" i="4"/>
  <c r="F11" i="4"/>
  <c r="F27" i="4"/>
  <c r="L27" i="4" s="1"/>
  <c r="I39" i="4"/>
  <c r="I8" i="4"/>
  <c r="I15" i="4"/>
  <c r="I18" i="4"/>
  <c r="G24" i="4"/>
  <c r="F31" i="4"/>
  <c r="H33" i="4"/>
  <c r="J15" i="4"/>
  <c r="F43" i="4"/>
  <c r="F7" i="4"/>
  <c r="F23" i="4"/>
  <c r="H25" i="4"/>
  <c r="L44" i="4"/>
  <c r="I12" i="4"/>
  <c r="G30" i="4"/>
  <c r="G38" i="4"/>
  <c r="H38" i="4"/>
  <c r="F13" i="4"/>
  <c r="I14" i="4"/>
  <c r="J17" i="4"/>
  <c r="I22" i="4"/>
  <c r="J25" i="4"/>
  <c r="F29" i="4"/>
  <c r="I30" i="4"/>
  <c r="J33" i="4"/>
  <c r="F37" i="4"/>
  <c r="I38" i="4"/>
  <c r="J41" i="4"/>
  <c r="F10" i="4"/>
  <c r="G13" i="4"/>
  <c r="J22" i="4"/>
  <c r="F26" i="4"/>
  <c r="G29" i="4"/>
  <c r="F9" i="4"/>
  <c r="G10" i="4"/>
  <c r="H13" i="4"/>
  <c r="I16" i="4"/>
  <c r="G18" i="4"/>
  <c r="L18" i="4" s="1"/>
  <c r="H21" i="4"/>
  <c r="I24" i="4"/>
  <c r="H29" i="4"/>
  <c r="I32" i="4"/>
  <c r="G34" i="4"/>
  <c r="H37" i="4"/>
  <c r="I40" i="4"/>
  <c r="G42" i="4"/>
  <c r="L42" i="4" s="1"/>
  <c r="F8" i="4"/>
  <c r="L8" i="4" s="1"/>
  <c r="F12" i="4"/>
  <c r="I13" i="4"/>
  <c r="J16" i="4"/>
  <c r="F20" i="4"/>
  <c r="I21" i="4"/>
  <c r="J24" i="4"/>
  <c r="F28" i="4"/>
  <c r="I29" i="4"/>
  <c r="J32" i="4"/>
  <c r="F36" i="4"/>
  <c r="I37" i="4"/>
  <c r="J40" i="4"/>
  <c r="G14" i="4"/>
  <c r="G22" i="4"/>
  <c r="H22" i="4"/>
  <c r="H11" i="4"/>
  <c r="L11" i="4" s="1"/>
  <c r="F21" i="4"/>
  <c r="F34" i="4"/>
  <c r="G26" i="4"/>
  <c r="F17" i="4"/>
  <c r="F25" i="4"/>
  <c r="F33" i="4"/>
  <c r="D41" i="5"/>
  <c r="D11" i="5"/>
  <c r="D19" i="5"/>
  <c r="D27" i="5"/>
  <c r="D35" i="5"/>
  <c r="D43" i="5"/>
  <c r="D12" i="5"/>
  <c r="D20" i="5"/>
  <c r="D28" i="5"/>
  <c r="C50" i="7" l="1"/>
  <c r="C51" i="7" s="1"/>
  <c r="C52" i="7" s="1"/>
  <c r="C53" i="7" s="1"/>
  <c r="L21" i="4"/>
  <c r="L15" i="4"/>
  <c r="L20" i="4"/>
  <c r="L38" i="4"/>
  <c r="L23" i="4"/>
  <c r="L19" i="4"/>
  <c r="L39" i="4"/>
  <c r="L9" i="4"/>
  <c r="L41" i="4"/>
  <c r="L29" i="4"/>
  <c r="L33" i="4"/>
  <c r="L28" i="4"/>
  <c r="L31" i="4"/>
  <c r="L7" i="4"/>
  <c r="L36" i="4"/>
  <c r="L16" i="4"/>
  <c r="L37" i="4"/>
  <c r="L22" i="4"/>
  <c r="L25" i="4"/>
  <c r="L17" i="4"/>
  <c r="L40" i="4"/>
  <c r="L14" i="4"/>
  <c r="L43" i="4"/>
  <c r="L32" i="4"/>
  <c r="L13" i="4"/>
  <c r="L12" i="4"/>
  <c r="L24" i="4"/>
  <c r="L26" i="4"/>
  <c r="L30" i="4"/>
  <c r="L10" i="4"/>
  <c r="L34" i="4"/>
  <c r="X4" i="1"/>
  <c r="W4" i="1"/>
  <c r="V4" i="1"/>
  <c r="U4" i="1"/>
  <c r="O4" i="1"/>
  <c r="P4" i="1"/>
  <c r="Q4" i="1"/>
  <c r="R4" i="1"/>
  <c r="N4" i="1"/>
  <c r="L46" i="4" l="1"/>
  <c r="S17" i="1"/>
  <c r="S33" i="1"/>
  <c r="S25" i="1"/>
  <c r="T25" i="1" s="1"/>
  <c r="S9" i="1"/>
  <c r="X13" i="1" s="1"/>
  <c r="U8" i="1"/>
  <c r="S15" i="1"/>
  <c r="U16" i="1" s="1"/>
  <c r="S23" i="1"/>
  <c r="V25" i="1" s="1"/>
  <c r="S31" i="1"/>
  <c r="X35" i="1" s="1"/>
  <c r="S39" i="1"/>
  <c r="X43" i="1" s="1"/>
  <c r="S12" i="1"/>
  <c r="W15" i="1" s="1"/>
  <c r="S20" i="1"/>
  <c r="U21" i="1" s="1"/>
  <c r="S28" i="1"/>
  <c r="V30" i="1" s="1"/>
  <c r="S36" i="1"/>
  <c r="U37" i="1" s="1"/>
  <c r="S44" i="1"/>
  <c r="T44" i="1" s="1"/>
  <c r="S19" i="1"/>
  <c r="T19" i="1" s="1"/>
  <c r="S35" i="1"/>
  <c r="X39" i="1" s="1"/>
  <c r="S8" i="1"/>
  <c r="X12" i="1" s="1"/>
  <c r="S40" i="1"/>
  <c r="S41" i="1"/>
  <c r="T41" i="1" s="1"/>
  <c r="S14" i="1"/>
  <c r="T14" i="1" s="1"/>
  <c r="S22" i="1"/>
  <c r="W25" i="1" s="1"/>
  <c r="S27" i="1"/>
  <c r="V29" i="1" s="1"/>
  <c r="S16" i="1"/>
  <c r="T16" i="1" s="1"/>
  <c r="S24" i="1"/>
  <c r="W27" i="1" s="1"/>
  <c r="S13" i="1"/>
  <c r="V15" i="1" s="1"/>
  <c r="S21" i="1"/>
  <c r="T21" i="1" s="1"/>
  <c r="S29" i="1"/>
  <c r="X33" i="1" s="1"/>
  <c r="S37" i="1"/>
  <c r="V39" i="1" s="1"/>
  <c r="S5" i="1"/>
  <c r="T5" i="1" s="1"/>
  <c r="Z5" i="1" s="1"/>
  <c r="S6" i="1"/>
  <c r="W9" i="1" s="1"/>
  <c r="S30" i="1"/>
  <c r="T30" i="1" s="1"/>
  <c r="S38" i="1"/>
  <c r="U39" i="1" s="1"/>
  <c r="S11" i="1"/>
  <c r="V13" i="1" s="1"/>
  <c r="S43" i="1"/>
  <c r="U44" i="1" s="1"/>
  <c r="S32" i="1"/>
  <c r="T32" i="1" s="1"/>
  <c r="S10" i="1"/>
  <c r="X14" i="1" s="1"/>
  <c r="S18" i="1"/>
  <c r="V20" i="1" s="1"/>
  <c r="S26" i="1"/>
  <c r="X30" i="1" s="1"/>
  <c r="S34" i="1"/>
  <c r="V36" i="1" s="1"/>
  <c r="S42" i="1"/>
  <c r="U43" i="1" s="1"/>
  <c r="X21" i="1"/>
  <c r="X37" i="1"/>
  <c r="W24" i="1"/>
  <c r="X44" i="1"/>
  <c r="U22" i="1"/>
  <c r="T12" i="1"/>
  <c r="T17" i="1"/>
  <c r="U18" i="1"/>
  <c r="V19" i="1"/>
  <c r="W20" i="1"/>
  <c r="U26" i="1"/>
  <c r="V27" i="1"/>
  <c r="W28" i="1"/>
  <c r="T33" i="1"/>
  <c r="U34" i="1"/>
  <c r="V35" i="1"/>
  <c r="W36" i="1"/>
  <c r="U13" i="1"/>
  <c r="X16" i="1"/>
  <c r="V10" i="1"/>
  <c r="W11" i="1"/>
  <c r="W35" i="1"/>
  <c r="T40" i="1"/>
  <c r="U41" i="1"/>
  <c r="V42" i="1"/>
  <c r="W43" i="1"/>
  <c r="X15" i="1"/>
  <c r="T39" i="1"/>
  <c r="U40" i="1"/>
  <c r="V14" i="1"/>
  <c r="T11" i="1"/>
  <c r="V9" i="1" l="1"/>
  <c r="U36" i="1"/>
  <c r="W32" i="1"/>
  <c r="U6" i="1"/>
  <c r="W30" i="1"/>
  <c r="Z30" i="1" s="1"/>
  <c r="X29" i="1"/>
  <c r="T22" i="1"/>
  <c r="X28" i="1"/>
  <c r="T20" i="1"/>
  <c r="U30" i="1"/>
  <c r="X25" i="1"/>
  <c r="X9" i="1"/>
  <c r="X42" i="1"/>
  <c r="V33" i="1"/>
  <c r="U23" i="1"/>
  <c r="T23" i="1"/>
  <c r="V23" i="1"/>
  <c r="X38" i="1"/>
  <c r="V18" i="1"/>
  <c r="T27" i="1"/>
  <c r="W29" i="1"/>
  <c r="U19" i="1"/>
  <c r="X23" i="1"/>
  <c r="X34" i="1"/>
  <c r="T38" i="1"/>
  <c r="T26" i="1"/>
  <c r="W39" i="1"/>
  <c r="V31" i="1"/>
  <c r="V24" i="1"/>
  <c r="W34" i="1"/>
  <c r="W21" i="1"/>
  <c r="T9" i="1"/>
  <c r="X10" i="1"/>
  <c r="T29" i="1"/>
  <c r="U24" i="1"/>
  <c r="W19" i="1"/>
  <c r="T34" i="1"/>
  <c r="W37" i="1"/>
  <c r="U17" i="1"/>
  <c r="U28" i="1"/>
  <c r="V17" i="1"/>
  <c r="V28" i="1"/>
  <c r="X22" i="1"/>
  <c r="T15" i="1"/>
  <c r="W12" i="1"/>
  <c r="T18" i="1"/>
  <c r="V38" i="1"/>
  <c r="X19" i="1"/>
  <c r="X26" i="1"/>
  <c r="W18" i="1"/>
  <c r="U20" i="1"/>
  <c r="T36" i="1"/>
  <c r="X40" i="1"/>
  <c r="X31" i="1"/>
  <c r="X11" i="1"/>
  <c r="V7" i="1"/>
  <c r="U7" i="1"/>
  <c r="X20" i="1"/>
  <c r="V8" i="1"/>
  <c r="U35" i="1"/>
  <c r="W33" i="1"/>
  <c r="U27" i="1"/>
  <c r="V21" i="1"/>
  <c r="Z21" i="1" s="1"/>
  <c r="V32" i="1"/>
  <c r="T42" i="1"/>
  <c r="X27" i="1"/>
  <c r="U31" i="1"/>
  <c r="U32" i="1"/>
  <c r="W26" i="1"/>
  <c r="W22" i="1"/>
  <c r="V26" i="1"/>
  <c r="T6" i="1"/>
  <c r="Z6" i="1" s="1"/>
  <c r="V11" i="1"/>
  <c r="W10" i="1"/>
  <c r="U25" i="1"/>
  <c r="V44" i="1"/>
  <c r="W8" i="1"/>
  <c r="U10" i="1"/>
  <c r="V37" i="1"/>
  <c r="W17" i="1"/>
  <c r="V12" i="1"/>
  <c r="V16" i="1"/>
  <c r="T28" i="1"/>
  <c r="U12" i="1"/>
  <c r="T24" i="1"/>
  <c r="U9" i="1"/>
  <c r="W14" i="1"/>
  <c r="T35" i="1"/>
  <c r="T8" i="1"/>
  <c r="W23" i="1"/>
  <c r="W16" i="1"/>
  <c r="U15" i="1"/>
  <c r="Z15" i="1" s="1"/>
  <c r="X18" i="1"/>
  <c r="W40" i="1"/>
  <c r="V22" i="1"/>
  <c r="Z22" i="1" s="1"/>
  <c r="W44" i="1"/>
  <c r="X36" i="1"/>
  <c r="X17" i="1"/>
  <c r="U33" i="1"/>
  <c r="U29" i="1"/>
  <c r="U42" i="1"/>
  <c r="T10" i="1"/>
  <c r="U14" i="1"/>
  <c r="Z14" i="1" s="1"/>
  <c r="V34" i="1"/>
  <c r="V43" i="1"/>
  <c r="W13" i="1"/>
  <c r="T13" i="1"/>
  <c r="Z13" i="1" s="1"/>
  <c r="W41" i="1"/>
  <c r="U11" i="1"/>
  <c r="T31" i="1"/>
  <c r="X41" i="1"/>
  <c r="V40" i="1"/>
  <c r="W42" i="1"/>
  <c r="X24" i="1"/>
  <c r="T43" i="1"/>
  <c r="U38" i="1"/>
  <c r="W31" i="1"/>
  <c r="X32" i="1"/>
  <c r="V41" i="1"/>
  <c r="Z41" i="1" s="1"/>
  <c r="W38" i="1"/>
  <c r="T37" i="1"/>
  <c r="Z39" i="1"/>
  <c r="Z25" i="1"/>
  <c r="Z33" i="1"/>
  <c r="Z44" i="1" l="1"/>
  <c r="Z19" i="1"/>
  <c r="Z35" i="1"/>
  <c r="Z16" i="1"/>
  <c r="Z36" i="1"/>
  <c r="Z27" i="1"/>
  <c r="Z20" i="1"/>
  <c r="Z23" i="1"/>
  <c r="Z31" i="1"/>
  <c r="Z37" i="1"/>
  <c r="Z18" i="1"/>
  <c r="Z24" i="1"/>
  <c r="Z26" i="1"/>
  <c r="Z29" i="1"/>
  <c r="Z7" i="1"/>
  <c r="Z10" i="1"/>
  <c r="Z43" i="1"/>
  <c r="Z34" i="1"/>
  <c r="Z11" i="1"/>
  <c r="Z42" i="1"/>
  <c r="Z17" i="1"/>
  <c r="Z9" i="1"/>
  <c r="Z8" i="1"/>
  <c r="Z38" i="1"/>
  <c r="Z12" i="1"/>
  <c r="Z32" i="1"/>
  <c r="Z28" i="1"/>
  <c r="Z40" i="1"/>
  <c r="Z46" i="1" l="1"/>
</calcChain>
</file>

<file path=xl/sharedStrings.xml><?xml version="1.0" encoding="utf-8"?>
<sst xmlns="http://schemas.openxmlformats.org/spreadsheetml/2006/main" count="182" uniqueCount="63">
  <si>
    <t>Year</t>
  </si>
  <si>
    <t>Severely Degraded</t>
  </si>
  <si>
    <t>Degraded</t>
  </si>
  <si>
    <t>Moderate</t>
  </si>
  <si>
    <t>Fertile</t>
  </si>
  <si>
    <t>Very Fertile</t>
  </si>
  <si>
    <t>SOC Class</t>
  </si>
  <si>
    <t>SOC Level (t/ha)</t>
  </si>
  <si>
    <t>0-10</t>
  </si>
  <si>
    <t>30-50</t>
  </si>
  <si>
    <t>50-70</t>
  </si>
  <si>
    <t>70+</t>
  </si>
  <si>
    <t>10-30</t>
  </si>
  <si>
    <t>% Samples</t>
  </si>
  <si>
    <t>Δ SOC (tCO2e/ha)</t>
  </si>
  <si>
    <t>(sample proportions --&gt;)</t>
  </si>
  <si>
    <t>Net Δ SOC (tCO2e/ha)</t>
  </si>
  <si>
    <t>Areal implementation phases</t>
  </si>
  <si>
    <t>Start year --&gt;</t>
  </si>
  <si>
    <t>Y1</t>
  </si>
  <si>
    <t>Y2</t>
  </si>
  <si>
    <t>Y3</t>
  </si>
  <si>
    <t>Y4</t>
  </si>
  <si>
    <t>Y5</t>
  </si>
  <si>
    <t>Area covered --&gt;</t>
  </si>
  <si>
    <t>Cropland and Grassland (Axam and Ecobliss)</t>
  </si>
  <si>
    <t>Area Covered (%)</t>
  </si>
  <si>
    <t>Cropland Area (ha)</t>
  </si>
  <si>
    <t>Grassland Area (ha)</t>
  </si>
  <si>
    <t>Est. tCO2e</t>
  </si>
  <si>
    <t>Total:</t>
  </si>
  <si>
    <t>Agroforestry (ha)</t>
  </si>
  <si>
    <t>Δ CTREE,wp,t per ha (t CO2e/ha)</t>
  </si>
  <si>
    <t>Area --&gt;</t>
  </si>
  <si>
    <t>N2O ERs Burning (tCO2e/ha)</t>
  </si>
  <si>
    <t>CH4 ERs Burning (tCO2e/ha)</t>
  </si>
  <si>
    <t>ERs fossil fuels (tCO2e)</t>
  </si>
  <si>
    <t>Net ERs (tCO2e)</t>
  </si>
  <si>
    <t>Cropland Area --&gt;</t>
  </si>
  <si>
    <t>Croplands</t>
  </si>
  <si>
    <t>Grasslands</t>
  </si>
  <si>
    <t>Agroforestry</t>
  </si>
  <si>
    <t>QA3</t>
  </si>
  <si>
    <t>Totals:</t>
  </si>
  <si>
    <t>Buffer Pool</t>
  </si>
  <si>
    <t>Final tCO2e:</t>
  </si>
  <si>
    <t>credits per ha per yr</t>
  </si>
  <si>
    <t>Absolute SOC levels (project scenario) (t/ha)</t>
  </si>
  <si>
    <t>Absolute SOC levels (baseline scenario) (t/ha)</t>
  </si>
  <si>
    <t>Absolute SOC  (project scenario) (t/ha)</t>
  </si>
  <si>
    <t>Absolute SOC  (baseline scenario) (t/ha)</t>
  </si>
  <si>
    <t>credits per yr</t>
  </si>
  <si>
    <t>conservative</t>
  </si>
  <si>
    <t>Fertilizer ERs (tCO2e/ha)</t>
  </si>
  <si>
    <t>Estimated Reduction VCUs (tCO2e)</t>
  </si>
  <si>
    <t>Estimated Removal VCUs (tCO2e)</t>
  </si>
  <si>
    <t>Estimated buffer pool allocation (tCO2e)</t>
  </si>
  <si>
    <t>Estimated leakage emissions (tCO2e)</t>
  </si>
  <si>
    <t>Estimated project emissions (tCO2e)</t>
  </si>
  <si>
    <t>Estimated baseline emissions (tCO2e)</t>
  </si>
  <si>
    <t>n/a</t>
  </si>
  <si>
    <t>Estimated total VCU issuance (tCO2e)</t>
  </si>
  <si>
    <t>Vintage Period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</si>
</sst>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.0000"/>
    <numFmt numFmtId="165" formatCode="0.00000"/>
    <numFmt numFmtId="166" formatCode="_(* #,##0_);_(* \(#,##0\);_(* &quot;-&quot;??_);_(@_)"/>
  </numFmts>
  <fonts count="15" x14ac:knownFonts="1">
    <font>
      <sz val="12"/>
      <color theme="1"/>
      <name val="Aptos Narrow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2"/>
      <color theme="1"/>
      <name val="Aptos Narrow"/>
      <family val="2"/>
      <scheme val="minor"/>
    </font>
    <font>
      <sz val="11"/>
      <color theme="8"/>
      <name val="Calibri"/>
      <family val="2"/>
    </font>
    <font>
      <sz val="11"/>
      <color theme="8"/>
      <name val="Aptos Narrow"/>
      <family val="2"/>
      <scheme val="minor"/>
    </font>
    <font>
      <sz val="11"/>
      <color theme="9" tint="-0.249977111117893"/>
      <name val="Calibri"/>
      <family val="2"/>
    </font>
    <font>
      <b/>
      <sz val="11"/>
      <color theme="9" tint="-0.249977111117893"/>
      <name val="Calibri"/>
      <family val="2"/>
    </font>
    <font>
      <b/>
      <sz val="11"/>
      <color rgb="FF000000"/>
      <name val="Calibri"/>
      <family val="2"/>
    </font>
    <font>
      <sz val="11"/>
      <color rgb="FF3C7D22"/>
      <name val="Calibri"/>
      <family val="2"/>
    </font>
    <font>
      <b/>
      <sz val="11"/>
      <color rgb="FF3C7D22"/>
      <name val="Calibri"/>
      <family val="2"/>
    </font>
    <font>
      <sz val="11"/>
      <color rgb="FF000000"/>
      <name val="Calibri"/>
      <family val="2"/>
    </font>
    <font>
      <b/>
      <sz val="14"/>
      <color theme="1"/>
      <name val="Calibri"/>
      <family val="2"/>
    </font>
    <font>
      <b/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88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1" fillId="0" borderId="5" xfId="0" applyFont="1" applyBorder="1" applyAlignment="1">
      <alignment horizontal="center" vertical="top"/>
    </xf>
    <xf numFmtId="164" fontId="2" fillId="0" borderId="0" xfId="0" applyNumberFormat="1" applyFont="1"/>
    <xf numFmtId="164" fontId="2" fillId="0" borderId="4" xfId="0" applyNumberFormat="1" applyFont="1" applyBorder="1"/>
    <xf numFmtId="164" fontId="2" fillId="0" borderId="7" xfId="0" applyNumberFormat="1" applyFont="1" applyBorder="1"/>
    <xf numFmtId="164" fontId="2" fillId="0" borderId="8" xfId="0" applyNumberFormat="1" applyFont="1" applyBorder="1"/>
    <xf numFmtId="0" fontId="5" fillId="0" borderId="5" xfId="0" applyFont="1" applyBorder="1"/>
    <xf numFmtId="165" fontId="2" fillId="0" borderId="7" xfId="0" applyNumberFormat="1" applyFont="1" applyBorder="1"/>
    <xf numFmtId="0" fontId="3" fillId="0" borderId="9" xfId="0" applyFont="1" applyBorder="1"/>
    <xf numFmtId="0" fontId="3" fillId="0" borderId="1" xfId="0" applyFont="1" applyBorder="1" applyAlignment="1">
      <alignment horizontal="center"/>
    </xf>
    <xf numFmtId="0" fontId="7" fillId="0" borderId="10" xfId="0" applyFont="1" applyBorder="1"/>
    <xf numFmtId="0" fontId="8" fillId="0" borderId="5" xfId="0" applyFont="1" applyBorder="1"/>
    <xf numFmtId="0" fontId="8" fillId="0" borderId="0" xfId="0" applyFont="1"/>
    <xf numFmtId="0" fontId="8" fillId="0" borderId="4" xfId="0" applyFont="1" applyBorder="1"/>
    <xf numFmtId="0" fontId="7" fillId="0" borderId="5" xfId="0" applyFont="1" applyBorder="1"/>
    <xf numFmtId="0" fontId="7" fillId="0" borderId="0" xfId="0" applyFont="1"/>
    <xf numFmtId="0" fontId="7" fillId="0" borderId="4" xfId="0" applyFont="1" applyBorder="1"/>
    <xf numFmtId="165" fontId="2" fillId="0" borderId="10" xfId="0" applyNumberFormat="1" applyFont="1" applyBorder="1"/>
    <xf numFmtId="165" fontId="2" fillId="0" borderId="11" xfId="0" applyNumberFormat="1" applyFont="1" applyBorder="1"/>
    <xf numFmtId="0" fontId="2" fillId="0" borderId="7" xfId="0" applyFont="1" applyBorder="1"/>
    <xf numFmtId="0" fontId="2" fillId="0" borderId="8" xfId="0" applyFont="1" applyBorder="1"/>
    <xf numFmtId="0" fontId="3" fillId="0" borderId="3" xfId="0" applyFont="1" applyBorder="1"/>
    <xf numFmtId="0" fontId="3" fillId="0" borderId="0" xfId="0" applyFont="1"/>
    <xf numFmtId="43" fontId="3" fillId="0" borderId="0" xfId="1" applyFont="1"/>
    <xf numFmtId="0" fontId="1" fillId="0" borderId="1" xfId="0" applyFont="1" applyBorder="1" applyAlignment="1">
      <alignment horizontal="center" vertical="top"/>
    </xf>
    <xf numFmtId="0" fontId="9" fillId="0" borderId="3" xfId="0" applyFont="1" applyBorder="1"/>
    <xf numFmtId="0" fontId="10" fillId="0" borderId="10" xfId="0" applyFont="1" applyBorder="1"/>
    <xf numFmtId="0" fontId="11" fillId="0" borderId="0" xfId="0" applyFont="1"/>
    <xf numFmtId="0" fontId="12" fillId="0" borderId="0" xfId="0" applyFont="1"/>
    <xf numFmtId="0" fontId="12" fillId="0" borderId="4" xfId="0" applyFont="1" applyBorder="1"/>
    <xf numFmtId="0" fontId="12" fillId="0" borderId="5" xfId="0" applyFont="1" applyBorder="1"/>
    <xf numFmtId="165" fontId="12" fillId="0" borderId="4" xfId="0" applyNumberFormat="1" applyFont="1" applyBorder="1"/>
    <xf numFmtId="0" fontId="10" fillId="0" borderId="0" xfId="0" applyFont="1"/>
    <xf numFmtId="0" fontId="12" fillId="0" borderId="6" xfId="0" applyFont="1" applyBorder="1"/>
    <xf numFmtId="165" fontId="12" fillId="0" borderId="8" xfId="0" applyNumberFormat="1" applyFont="1" applyBorder="1"/>
    <xf numFmtId="0" fontId="9" fillId="0" borderId="0" xfId="0" applyFont="1"/>
    <xf numFmtId="43" fontId="9" fillId="0" borderId="0" xfId="0" applyNumberFormat="1" applyFont="1"/>
    <xf numFmtId="0" fontId="9" fillId="0" borderId="1" xfId="0" applyFont="1" applyBorder="1" applyAlignment="1">
      <alignment horizontal="center"/>
    </xf>
    <xf numFmtId="0" fontId="3" fillId="0" borderId="1" xfId="0" applyFont="1" applyBorder="1"/>
    <xf numFmtId="0" fontId="7" fillId="0" borderId="4" xfId="0" applyFont="1" applyBorder="1" applyAlignment="1">
      <alignment horizontal="right"/>
    </xf>
    <xf numFmtId="0" fontId="2" fillId="0" borderId="10" xfId="0" applyFont="1" applyBorder="1"/>
    <xf numFmtId="0" fontId="2" fillId="0" borderId="11" xfId="0" applyFont="1" applyBorder="1"/>
    <xf numFmtId="0" fontId="9" fillId="0" borderId="2" xfId="0" applyFont="1" applyBorder="1"/>
    <xf numFmtId="0" fontId="3" fillId="0" borderId="2" xfId="0" applyFont="1" applyBorder="1"/>
    <xf numFmtId="9" fontId="2" fillId="0" borderId="0" xfId="2" applyFont="1"/>
    <xf numFmtId="43" fontId="2" fillId="0" borderId="0" xfId="0" applyNumberFormat="1" applyFont="1"/>
    <xf numFmtId="0" fontId="13" fillId="2" borderId="12" xfId="0" applyFont="1" applyFill="1" applyBorder="1"/>
    <xf numFmtId="166" fontId="13" fillId="2" borderId="13" xfId="0" applyNumberFormat="1" applyFont="1" applyFill="1" applyBorder="1"/>
    <xf numFmtId="49" fontId="2" fillId="0" borderId="0" xfId="0" applyNumberFormat="1" applyFont="1"/>
    <xf numFmtId="10" fontId="2" fillId="0" borderId="0" xfId="2" applyNumberFormat="1" applyFont="1"/>
    <xf numFmtId="9" fontId="12" fillId="0" borderId="0" xfId="0" applyNumberFormat="1" applyFont="1"/>
    <xf numFmtId="0" fontId="12" fillId="0" borderId="9" xfId="0" applyFont="1" applyBorder="1"/>
    <xf numFmtId="0" fontId="12" fillId="0" borderId="10" xfId="0" applyFont="1" applyBorder="1"/>
    <xf numFmtId="0" fontId="12" fillId="0" borderId="11" xfId="0" applyFont="1" applyBorder="1"/>
    <xf numFmtId="0" fontId="9" fillId="0" borderId="9" xfId="0" applyFont="1" applyBorder="1"/>
    <xf numFmtId="164" fontId="12" fillId="0" borderId="10" xfId="0" applyNumberFormat="1" applyFont="1" applyBorder="1"/>
    <xf numFmtId="164" fontId="12" fillId="0" borderId="11" xfId="0" applyNumberFormat="1" applyFont="1" applyBorder="1"/>
    <xf numFmtId="43" fontId="0" fillId="0" borderId="0" xfId="0" applyNumberFormat="1"/>
    <xf numFmtId="43" fontId="14" fillId="0" borderId="0" xfId="0" applyNumberFormat="1" applyFont="1"/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2" fillId="0" borderId="0" xfId="0" applyFont="1" applyBorder="1"/>
    <xf numFmtId="164" fontId="2" fillId="0" borderId="0" xfId="0" applyNumberFormat="1" applyFont="1" applyBorder="1"/>
    <xf numFmtId="164" fontId="2" fillId="0" borderId="5" xfId="0" applyNumberFormat="1" applyFont="1" applyBorder="1"/>
    <xf numFmtId="164" fontId="2" fillId="0" borderId="6" xfId="0" applyNumberFormat="1" applyFont="1" applyBorder="1"/>
    <xf numFmtId="10" fontId="6" fillId="0" borderId="0" xfId="2" applyNumberFormat="1" applyFont="1" applyFill="1" applyBorder="1"/>
    <xf numFmtId="10" fontId="6" fillId="0" borderId="4" xfId="2" applyNumberFormat="1" applyFont="1" applyFill="1" applyBorder="1"/>
    <xf numFmtId="165" fontId="2" fillId="0" borderId="0" xfId="0" applyNumberFormat="1" applyFont="1" applyBorder="1"/>
    <xf numFmtId="165" fontId="2" fillId="0" borderId="4" xfId="0" applyNumberFormat="1" applyFont="1" applyBorder="1"/>
    <xf numFmtId="165" fontId="2" fillId="0" borderId="8" xfId="0" applyNumberFormat="1" applyFont="1" applyBorder="1"/>
    <xf numFmtId="0" fontId="3" fillId="0" borderId="0" xfId="0" applyFont="1" applyBorder="1"/>
    <xf numFmtId="0" fontId="9" fillId="0" borderId="0" xfId="0" applyFont="1" applyBorder="1"/>
    <xf numFmtId="0" fontId="12" fillId="0" borderId="0" xfId="0" applyFont="1" applyBorder="1"/>
    <xf numFmtId="0" fontId="2" fillId="0" borderId="0" xfId="0" applyFont="1" applyFill="1" applyBorder="1"/>
    <xf numFmtId="0" fontId="3" fillId="0" borderId="0" xfId="0" applyFont="1" applyFill="1" applyBorder="1"/>
    <xf numFmtId="43" fontId="0" fillId="0" borderId="0" xfId="1" applyFont="1" applyBorder="1"/>
    <xf numFmtId="43" fontId="12" fillId="0" borderId="0" xfId="0" applyNumberFormat="1" applyFont="1" applyBorder="1"/>
    <xf numFmtId="0" fontId="14" fillId="0" borderId="0" xfId="0" applyFont="1" applyFill="1" applyBorder="1"/>
    <xf numFmtId="0" fontId="14" fillId="0" borderId="0" xfId="0" applyFont="1" applyBorder="1"/>
    <xf numFmtId="43" fontId="0" fillId="0" borderId="0" xfId="0" applyNumberFormat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7C3AB-7A59-1842-AA04-D08422452670}">
  <dimension ref="B3:G5"/>
  <sheetViews>
    <sheetView zoomScale="175" zoomScaleNormal="243" workbookViewId="0">
      <selection activeCell="F26" sqref="F26"/>
    </sheetView>
  </sheetViews>
  <sheetFormatPr baseColWidth="10" defaultRowHeight="15" x14ac:dyDescent="0.2"/>
  <cols>
    <col min="1" max="16384" width="10.83203125" style="1"/>
  </cols>
  <sheetData>
    <row r="3" spans="2:7" x14ac:dyDescent="0.2">
      <c r="B3" s="27" t="s">
        <v>7</v>
      </c>
      <c r="C3" s="1" t="s">
        <v>8</v>
      </c>
      <c r="D3" s="53" t="s">
        <v>12</v>
      </c>
      <c r="E3" s="1" t="s">
        <v>9</v>
      </c>
      <c r="F3" s="1" t="s">
        <v>10</v>
      </c>
      <c r="G3" s="1" t="s">
        <v>11</v>
      </c>
    </row>
    <row r="4" spans="2:7" x14ac:dyDescent="0.2">
      <c r="B4" s="27" t="s">
        <v>6</v>
      </c>
      <c r="C4" s="1" t="s">
        <v>1</v>
      </c>
      <c r="D4" s="1" t="s">
        <v>2</v>
      </c>
      <c r="E4" s="1" t="s">
        <v>3</v>
      </c>
      <c r="F4" s="1" t="s">
        <v>4</v>
      </c>
      <c r="G4" s="1" t="s">
        <v>5</v>
      </c>
    </row>
    <row r="5" spans="2:7" x14ac:dyDescent="0.2">
      <c r="B5" s="1" t="s">
        <v>13</v>
      </c>
      <c r="C5" s="54">
        <v>8.5470000000000008E-3</v>
      </c>
      <c r="D5" s="54">
        <v>0.40170899999999998</v>
      </c>
      <c r="E5" s="54">
        <v>0.35042699999999999</v>
      </c>
      <c r="F5" s="54">
        <v>0.119658</v>
      </c>
      <c r="G5" s="54">
        <v>0.119658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55221-885C-854D-A76C-E32B80C6D7FD}">
  <dimension ref="A1:C15"/>
  <sheetViews>
    <sheetView zoomScale="185" workbookViewId="0">
      <selection activeCell="C15" sqref="C15"/>
    </sheetView>
  </sheetViews>
  <sheetFormatPr baseColWidth="10" defaultRowHeight="15" x14ac:dyDescent="0.2"/>
  <cols>
    <col min="1" max="1" width="10.83203125" style="1"/>
    <col min="2" max="2" width="16.5" style="1" customWidth="1"/>
    <col min="3" max="16384" width="10.83203125" style="1"/>
  </cols>
  <sheetData>
    <row r="1" spans="1:3" x14ac:dyDescent="0.2">
      <c r="A1" s="33"/>
      <c r="B1" s="33"/>
      <c r="C1" s="33"/>
    </row>
    <row r="2" spans="1:3" x14ac:dyDescent="0.2">
      <c r="A2" s="33"/>
      <c r="B2" s="33" t="s">
        <v>25</v>
      </c>
      <c r="C2" s="33"/>
    </row>
    <row r="3" spans="1:3" x14ac:dyDescent="0.2">
      <c r="A3" s="33"/>
      <c r="B3" s="40" t="s">
        <v>0</v>
      </c>
      <c r="C3" s="40" t="s">
        <v>26</v>
      </c>
    </row>
    <row r="4" spans="1:3" x14ac:dyDescent="0.2">
      <c r="A4" s="33"/>
      <c r="B4" s="33">
        <v>1</v>
      </c>
      <c r="C4" s="55">
        <v>0.15</v>
      </c>
    </row>
    <row r="5" spans="1:3" x14ac:dyDescent="0.2">
      <c r="A5" s="33"/>
      <c r="B5" s="33">
        <v>2</v>
      </c>
      <c r="C5" s="55">
        <v>0.2</v>
      </c>
    </row>
    <row r="6" spans="1:3" x14ac:dyDescent="0.2">
      <c r="A6" s="33"/>
      <c r="B6" s="33">
        <v>3</v>
      </c>
      <c r="C6" s="55">
        <v>0.25</v>
      </c>
    </row>
    <row r="7" spans="1:3" x14ac:dyDescent="0.2">
      <c r="A7" s="33"/>
      <c r="B7" s="33">
        <v>4</v>
      </c>
      <c r="C7" s="55">
        <v>0.25</v>
      </c>
    </row>
    <row r="8" spans="1:3" x14ac:dyDescent="0.2">
      <c r="A8" s="33"/>
      <c r="B8" s="33">
        <v>5</v>
      </c>
      <c r="C8" s="55">
        <v>0.15</v>
      </c>
    </row>
    <row r="9" spans="1:3" x14ac:dyDescent="0.2">
      <c r="A9" s="33"/>
      <c r="B9" s="33"/>
      <c r="C9" s="55">
        <v>1</v>
      </c>
    </row>
    <row r="10" spans="1:3" x14ac:dyDescent="0.2">
      <c r="A10" s="33"/>
      <c r="B10" s="33"/>
      <c r="C10" s="33"/>
    </row>
    <row r="11" spans="1:3" x14ac:dyDescent="0.2">
      <c r="A11" s="33"/>
      <c r="B11" s="33" t="s">
        <v>27</v>
      </c>
      <c r="C11" s="33">
        <v>41544.262000000002</v>
      </c>
    </row>
    <row r="12" spans="1:3" x14ac:dyDescent="0.2">
      <c r="A12" s="33"/>
      <c r="B12" s="33" t="s">
        <v>28</v>
      </c>
      <c r="C12" s="33">
        <v>23461.428</v>
      </c>
    </row>
    <row r="13" spans="1:3" x14ac:dyDescent="0.2">
      <c r="B13" s="1" t="s">
        <v>31</v>
      </c>
      <c r="C13" s="1">
        <f>0.3 * C11</f>
        <v>12463.2786</v>
      </c>
    </row>
    <row r="15" spans="1:3" x14ac:dyDescent="0.2">
      <c r="C15" s="1">
        <f>C11+C12</f>
        <v>65005.69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8182C-6DC9-3E41-843E-BB21541C7D1F}">
  <dimension ref="B1:Z46"/>
  <sheetViews>
    <sheetView topLeftCell="I1" zoomScale="139" zoomScaleNormal="214" workbookViewId="0">
      <selection activeCell="Y48" sqref="Y48"/>
    </sheetView>
  </sheetViews>
  <sheetFormatPr baseColWidth="10" defaultRowHeight="15" x14ac:dyDescent="0.2"/>
  <cols>
    <col min="1" max="1" width="10.83203125" style="1"/>
    <col min="2" max="2" width="10.6640625" style="1" customWidth="1"/>
    <col min="3" max="3" width="17.33203125" style="1" customWidth="1"/>
    <col min="4" max="7" width="12.6640625" style="1" bestFit="1" customWidth="1"/>
    <col min="8" max="8" width="16.5" style="1" customWidth="1"/>
    <col min="9" max="12" width="12.6640625" style="1" customWidth="1"/>
    <col min="13" max="13" width="10.83203125" style="1"/>
    <col min="14" max="14" width="15.1640625" style="1" customWidth="1"/>
    <col min="15" max="18" width="11.6640625" style="1" bestFit="1" customWidth="1"/>
    <col min="19" max="19" width="18.6640625" style="1" customWidth="1"/>
    <col min="20" max="25" width="10.83203125" style="1"/>
    <col min="26" max="26" width="12.6640625" style="1" bestFit="1" customWidth="1"/>
    <col min="27" max="16384" width="10.83203125" style="1"/>
  </cols>
  <sheetData>
    <row r="1" spans="2:26" ht="16" thickBot="1" x14ac:dyDescent="0.25"/>
    <row r="2" spans="2:26" x14ac:dyDescent="0.2">
      <c r="B2" s="2"/>
      <c r="C2" s="64" t="s">
        <v>47</v>
      </c>
      <c r="D2" s="64"/>
      <c r="E2" s="64"/>
      <c r="F2" s="64"/>
      <c r="G2" s="65"/>
      <c r="H2" s="66" t="s">
        <v>48</v>
      </c>
      <c r="I2" s="64"/>
      <c r="J2" s="64"/>
      <c r="K2" s="64"/>
      <c r="L2" s="65"/>
      <c r="M2" s="2"/>
      <c r="N2" s="64" t="s">
        <v>14</v>
      </c>
      <c r="O2" s="64"/>
      <c r="P2" s="64"/>
      <c r="Q2" s="64"/>
      <c r="R2" s="65"/>
      <c r="S2" s="13" t="s">
        <v>16</v>
      </c>
      <c r="T2" s="66" t="s">
        <v>17</v>
      </c>
      <c r="U2" s="64"/>
      <c r="V2" s="64"/>
      <c r="W2" s="64"/>
      <c r="X2" s="65"/>
      <c r="Y2" s="14" t="s">
        <v>0</v>
      </c>
      <c r="Z2" s="26" t="s">
        <v>29</v>
      </c>
    </row>
    <row r="3" spans="2:26" x14ac:dyDescent="0.2">
      <c r="B3" s="6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3" t="s">
        <v>5</v>
      </c>
      <c r="H3" s="4" t="s">
        <v>1</v>
      </c>
      <c r="I3" s="69" t="s">
        <v>2</v>
      </c>
      <c r="J3" s="69" t="s">
        <v>3</v>
      </c>
      <c r="K3" s="69" t="s">
        <v>4</v>
      </c>
      <c r="L3" s="3" t="s">
        <v>5</v>
      </c>
      <c r="M3" s="6" t="s">
        <v>0</v>
      </c>
      <c r="N3" s="69" t="s">
        <v>1</v>
      </c>
      <c r="O3" s="69" t="s">
        <v>2</v>
      </c>
      <c r="P3" s="69" t="s">
        <v>3</v>
      </c>
      <c r="Q3" s="69" t="s">
        <v>4</v>
      </c>
      <c r="R3" s="3" t="s">
        <v>5</v>
      </c>
      <c r="S3" s="15" t="s">
        <v>18</v>
      </c>
      <c r="T3" s="16" t="s">
        <v>19</v>
      </c>
      <c r="U3" s="17" t="s">
        <v>20</v>
      </c>
      <c r="V3" s="17" t="s">
        <v>21</v>
      </c>
      <c r="W3" s="17" t="s">
        <v>22</v>
      </c>
      <c r="X3" s="18" t="s">
        <v>23</v>
      </c>
      <c r="Y3" s="4"/>
      <c r="Z3" s="3"/>
    </row>
    <row r="4" spans="2:26" x14ac:dyDescent="0.2">
      <c r="B4" s="4">
        <v>1</v>
      </c>
      <c r="C4" s="7">
        <v>9.6973816757608251</v>
      </c>
      <c r="D4" s="7">
        <v>20.72278964874052</v>
      </c>
      <c r="E4" s="7">
        <v>38.052407282159272</v>
      </c>
      <c r="F4" s="7">
        <v>57.390836278458828</v>
      </c>
      <c r="G4" s="8">
        <v>92.047876999546148</v>
      </c>
      <c r="H4" s="71">
        <v>9.7015612395231035</v>
      </c>
      <c r="I4" s="70">
        <v>20.733322483943471</v>
      </c>
      <c r="J4" s="70">
        <v>38.050778528836283</v>
      </c>
      <c r="K4" s="70">
        <v>57.387427922287984</v>
      </c>
      <c r="L4" s="8">
        <v>92.050112248796353</v>
      </c>
      <c r="M4" s="11" t="s">
        <v>15</v>
      </c>
      <c r="N4" s="73">
        <f>Soil_Classes!C5</f>
        <v>8.5470000000000008E-3</v>
      </c>
      <c r="O4" s="73">
        <f>Soil_Classes!D5</f>
        <v>0.40170899999999998</v>
      </c>
      <c r="P4" s="73">
        <f>Soil_Classes!E5</f>
        <v>0.35042699999999999</v>
      </c>
      <c r="Q4" s="73">
        <f>Soil_Classes!F5</f>
        <v>0.119658</v>
      </c>
      <c r="R4" s="74">
        <f>Soil_Classes!G5</f>
        <v>0.119658</v>
      </c>
      <c r="S4" s="15" t="s">
        <v>24</v>
      </c>
      <c r="T4" s="19">
        <f>Area_Phases!C11 *Area_Phases!C4</f>
        <v>6231.6392999999998</v>
      </c>
      <c r="U4" s="20">
        <f>Area_Phases!C11*Area_Phases!C5</f>
        <v>8308.8524000000016</v>
      </c>
      <c r="V4" s="20">
        <f>Area_Phases!C11 *Area_Phases!C6</f>
        <v>10386.065500000001</v>
      </c>
      <c r="W4" s="20">
        <f>Area_Phases!C11 * Area_Phases!C7</f>
        <v>10386.065500000001</v>
      </c>
      <c r="X4" s="21">
        <f>Area_Phases!C11 * Area_Phases!C8</f>
        <v>6231.6392999999998</v>
      </c>
      <c r="Y4" s="4"/>
      <c r="Z4" s="3"/>
    </row>
    <row r="5" spans="2:26" x14ac:dyDescent="0.2">
      <c r="B5" s="4">
        <v>2026</v>
      </c>
      <c r="C5" s="7">
        <v>10.831267449236661</v>
      </c>
      <c r="D5" s="7">
        <v>21.698337972669851</v>
      </c>
      <c r="E5" s="7">
        <v>38.869618168135709</v>
      </c>
      <c r="F5" s="7">
        <v>58.049709705251963</v>
      </c>
      <c r="G5" s="8">
        <v>92.548412978554836</v>
      </c>
      <c r="H5" s="71">
        <v>9.7015602663659131</v>
      </c>
      <c r="I5" s="70">
        <v>20.733321502894999</v>
      </c>
      <c r="J5" s="70">
        <v>38.050777559653262</v>
      </c>
      <c r="K5" s="70">
        <v>57.38742694902448</v>
      </c>
      <c r="L5" s="8">
        <v>92.050111277288238</v>
      </c>
      <c r="M5" s="4">
        <v>2026</v>
      </c>
      <c r="N5" s="75">
        <f>((C5-H5)-(C4-H4))*44/12</f>
        <v>4.157584737654429</v>
      </c>
      <c r="O5" s="75">
        <f t="shared" ref="O5:R20" si="0">((D5-I5)-(D4-I4))*44/12</f>
        <v>3.5770141182519475</v>
      </c>
      <c r="P5" s="75">
        <f t="shared" si="0"/>
        <v>2.9964434689180073</v>
      </c>
      <c r="Q5" s="75">
        <f t="shared" si="0"/>
        <v>2.4158728002076777</v>
      </c>
      <c r="R5" s="76">
        <f t="shared" si="0"/>
        <v>1.8353021518949457</v>
      </c>
      <c r="S5" s="22">
        <f t="shared" ref="S5:S44" si="1">N5*$N$4+O5*$O$4+P5*$P$4+Q5*$Q$4+R5*$R$4</f>
        <v>3.0311754290828303</v>
      </c>
      <c r="T5" s="4">
        <f t="shared" ref="T5:T44" si="2">$S5*T$4</f>
        <v>18889.191929066928</v>
      </c>
      <c r="X5" s="3"/>
      <c r="Y5" s="4">
        <v>2026</v>
      </c>
      <c r="Z5" s="3">
        <f>SUM(T5:X5)</f>
        <v>18889.191929066928</v>
      </c>
    </row>
    <row r="6" spans="2:26" x14ac:dyDescent="0.2">
      <c r="B6" s="4">
        <v>2027</v>
      </c>
      <c r="C6" s="7">
        <v>11.694776188269509</v>
      </c>
      <c r="D6" s="7">
        <v>22.442294646849</v>
      </c>
      <c r="E6" s="7">
        <v>39.494875909514093</v>
      </c>
      <c r="F6" s="7">
        <v>58.555415372302697</v>
      </c>
      <c r="G6" s="8">
        <v>92.934566582484095</v>
      </c>
      <c r="H6" s="71">
        <v>9.7015593108763127</v>
      </c>
      <c r="I6" s="70">
        <v>20.733320539657392</v>
      </c>
      <c r="J6" s="70">
        <v>38.050776608065703</v>
      </c>
      <c r="K6" s="70">
        <v>57.387425993430497</v>
      </c>
      <c r="L6" s="8">
        <v>92.050110323417755</v>
      </c>
      <c r="M6" s="4">
        <v>2027</v>
      </c>
      <c r="N6" s="75">
        <f t="shared" ref="N6:N44" si="3">((C6-H6)-(C5-H5))*44/12</f>
        <v>3.1662022132489795</v>
      </c>
      <c r="O6" s="75">
        <f t="shared" si="0"/>
        <v>2.7278446705281048</v>
      </c>
      <c r="P6" s="75">
        <f t="shared" si="0"/>
        <v>2.2926152075417909</v>
      </c>
      <c r="Q6" s="75">
        <f t="shared" si="0"/>
        <v>1.8542576163639595</v>
      </c>
      <c r="R6" s="76">
        <f t="shared" si="0"/>
        <v>1.41590004526572</v>
      </c>
      <c r="S6" s="22">
        <f t="shared" si="1"/>
        <v>2.317556079878345</v>
      </c>
      <c r="T6" s="4">
        <f t="shared" si="2"/>
        <v>14442.173547323833</v>
      </c>
      <c r="U6" s="1">
        <f t="shared" ref="U6:U44" si="4">$S5*U$4</f>
        <v>25185.589238755911</v>
      </c>
      <c r="X6" s="3"/>
      <c r="Y6" s="4">
        <v>2027</v>
      </c>
      <c r="Z6" s="3">
        <f t="shared" ref="Z6:Z44" si="5">SUM(T6:X6)</f>
        <v>39627.762786079744</v>
      </c>
    </row>
    <row r="7" spans="2:26" x14ac:dyDescent="0.2">
      <c r="B7" s="4">
        <v>2028</v>
      </c>
      <c r="C7" s="7">
        <v>12.44492073984928</v>
      </c>
      <c r="D7" s="7">
        <v>23.087901142038479</v>
      </c>
      <c r="E7" s="7">
        <v>40.036537942224413</v>
      </c>
      <c r="F7" s="7">
        <v>58.993392459963957</v>
      </c>
      <c r="G7" s="8">
        <v>93.269711856768367</v>
      </c>
      <c r="H7" s="71">
        <v>9.701558372733551</v>
      </c>
      <c r="I7" s="70">
        <v>20.733319593907279</v>
      </c>
      <c r="J7" s="70">
        <v>38.050775673754117</v>
      </c>
      <c r="K7" s="70">
        <v>57.387425055185211</v>
      </c>
      <c r="L7" s="8">
        <v>92.050109386864705</v>
      </c>
      <c r="M7" s="4">
        <v>2028</v>
      </c>
      <c r="N7" s="75">
        <f t="shared" si="3"/>
        <v>2.750533462315953</v>
      </c>
      <c r="O7" s="75">
        <f t="shared" si="0"/>
        <v>2.3672272834451724</v>
      </c>
      <c r="P7" s="75">
        <f t="shared" si="0"/>
        <v>1.9860975457469909</v>
      </c>
      <c r="Q7" s="75">
        <f t="shared" si="0"/>
        <v>1.6059194283240004</v>
      </c>
      <c r="R7" s="76">
        <f t="shared" si="0"/>
        <v>1.2288694397368498</v>
      </c>
      <c r="S7" s="22">
        <f>N7*$N$4+O7*$O$4+P7*$P$4+Q7*$Q$4+R7*$R$4</f>
        <v>2.0096326853457973</v>
      </c>
      <c r="T7" s="4">
        <f>$S7*T$4</f>
        <v>12523.306020565404</v>
      </c>
      <c r="U7" s="1">
        <f t="shared" si="4"/>
        <v>19256.231396431784</v>
      </c>
      <c r="V7" s="1">
        <f t="shared" ref="V7:V44" si="6">$S5*V$4</f>
        <v>31481.986548444882</v>
      </c>
      <c r="X7" s="3"/>
      <c r="Y7" s="4">
        <v>2028</v>
      </c>
      <c r="Z7" s="3">
        <f t="shared" si="5"/>
        <v>63261.523965442073</v>
      </c>
    </row>
    <row r="8" spans="2:26" x14ac:dyDescent="0.2">
      <c r="B8" s="4">
        <v>2029</v>
      </c>
      <c r="C8" s="7">
        <v>13.107563463123279</v>
      </c>
      <c r="D8" s="7">
        <v>23.658310472960601</v>
      </c>
      <c r="E8" s="7">
        <v>40.51520059199612</v>
      </c>
      <c r="F8" s="7">
        <v>59.380415290933108</v>
      </c>
      <c r="G8" s="8">
        <v>93.56483534181659</v>
      </c>
      <c r="H8" s="71">
        <v>9.7015574516226994</v>
      </c>
      <c r="I8" s="70">
        <v>20.733318665327189</v>
      </c>
      <c r="J8" s="70">
        <v>38.050774756404913</v>
      </c>
      <c r="K8" s="70">
        <v>57.387424133973752</v>
      </c>
      <c r="L8" s="8">
        <v>92.050108467314772</v>
      </c>
      <c r="M8" s="4">
        <v>2029</v>
      </c>
      <c r="N8" s="75">
        <f t="shared" si="3"/>
        <v>2.4296933627444517</v>
      </c>
      <c r="O8" s="75">
        <f t="shared" si="0"/>
        <v>2.0915042848414394</v>
      </c>
      <c r="P8" s="75">
        <f t="shared" si="0"/>
        <v>1.7550997461100077</v>
      </c>
      <c r="Q8" s="75">
        <f t="shared" si="0"/>
        <v>1.4190870913289046</v>
      </c>
      <c r="R8" s="76">
        <f t="shared" si="0"/>
        <v>1.0821228168599031</v>
      </c>
      <c r="S8" s="22">
        <f t="shared" si="1"/>
        <v>1.7752667978548946</v>
      </c>
      <c r="T8" s="4">
        <f t="shared" si="2"/>
        <v>11062.822345497716</v>
      </c>
      <c r="U8" s="1">
        <f>$S7*U$4</f>
        <v>16697.741360753877</v>
      </c>
      <c r="V8" s="1">
        <f t="shared" si="6"/>
        <v>24070.289245539723</v>
      </c>
      <c r="W8" s="1">
        <f t="shared" ref="W8:W44" si="7">$S5*W$4</f>
        <v>31481.986548444882</v>
      </c>
      <c r="X8" s="3"/>
      <c r="Y8" s="4">
        <v>2029</v>
      </c>
      <c r="Z8" s="3">
        <f t="shared" si="5"/>
        <v>83312.839500236194</v>
      </c>
    </row>
    <row r="9" spans="2:26" x14ac:dyDescent="0.2">
      <c r="B9" s="4">
        <v>2030</v>
      </c>
      <c r="C9" s="7">
        <v>13.701337626952361</v>
      </c>
      <c r="D9" s="7">
        <v>24.169444605429241</v>
      </c>
      <c r="E9" s="7">
        <v>40.944101850659401</v>
      </c>
      <c r="F9" s="7">
        <v>59.727163209419693</v>
      </c>
      <c r="G9" s="8">
        <v>93.830176168909261</v>
      </c>
      <c r="H9" s="71">
        <v>9.7015565472345404</v>
      </c>
      <c r="I9" s="70">
        <v>20.733317753605409</v>
      </c>
      <c r="J9" s="70">
        <v>38.050773855710077</v>
      </c>
      <c r="K9" s="70">
        <v>57.387423229486778</v>
      </c>
      <c r="L9" s="8">
        <v>92.050107564459125</v>
      </c>
      <c r="M9" s="4">
        <v>2030</v>
      </c>
      <c r="N9" s="75">
        <f t="shared" si="3"/>
        <v>2.1771752501298827</v>
      </c>
      <c r="O9" s="75">
        <f t="shared" si="0"/>
        <v>1.874161828698212</v>
      </c>
      <c r="P9" s="75">
        <f t="shared" si="0"/>
        <v>1.5726412509797616</v>
      </c>
      <c r="Q9" s="75">
        <f t="shared" si="0"/>
        <v>1.271412350903051</v>
      </c>
      <c r="R9" s="76">
        <f t="shared" si="0"/>
        <v>0.97291967647716626</v>
      </c>
      <c r="S9" s="22">
        <f t="shared" si="1"/>
        <v>1.5911242282967373</v>
      </c>
      <c r="T9" s="4">
        <f t="shared" si="2"/>
        <v>9915.3122722361204</v>
      </c>
      <c r="U9" s="1">
        <f t="shared" si="4"/>
        <v>14750.429793996958</v>
      </c>
      <c r="V9" s="1">
        <f t="shared" si="6"/>
        <v>20872.176700942342</v>
      </c>
      <c r="W9" s="1">
        <f>$S6*W$4</f>
        <v>24070.289245539723</v>
      </c>
      <c r="X9" s="3">
        <f t="shared" ref="X9:X44" si="8">$S5*X$4</f>
        <v>18889.191929066928</v>
      </c>
      <c r="Y9" s="4">
        <v>2030</v>
      </c>
      <c r="Z9" s="3">
        <f t="shared" si="5"/>
        <v>88497.399941782074</v>
      </c>
    </row>
    <row r="10" spans="2:26" x14ac:dyDescent="0.2">
      <c r="B10" s="4">
        <v>2031</v>
      </c>
      <c r="C10" s="7">
        <v>14.242079603154179</v>
      </c>
      <c r="D10" s="7">
        <v>24.635292319916271</v>
      </c>
      <c r="E10" s="7">
        <v>41.334549758195358</v>
      </c>
      <c r="F10" s="7">
        <v>60.042270872461202</v>
      </c>
      <c r="G10" s="8">
        <v>94.071310747825038</v>
      </c>
      <c r="H10" s="71">
        <v>9.7015556592654786</v>
      </c>
      <c r="I10" s="70">
        <v>20.733316858435849</v>
      </c>
      <c r="J10" s="70">
        <v>38.050772971367302</v>
      </c>
      <c r="K10" s="70">
        <v>57.387422341420709</v>
      </c>
      <c r="L10" s="8">
        <v>92.050106677994776</v>
      </c>
      <c r="M10" s="4">
        <v>2031</v>
      </c>
      <c r="N10" s="75">
        <f t="shared" si="3"/>
        <v>1.9827238352932284</v>
      </c>
      <c r="O10" s="75">
        <f t="shared" si="0"/>
        <v>1.7081115687408281</v>
      </c>
      <c r="P10" s="75">
        <f t="shared" si="0"/>
        <v>1.4316455702220192</v>
      </c>
      <c r="Q10" s="75">
        <f t="shared" si="0"/>
        <v>1.155398020727785</v>
      </c>
      <c r="R10" s="76">
        <f t="shared" si="0"/>
        <v>0.88416337306045989</v>
      </c>
      <c r="S10" s="22">
        <f t="shared" si="1"/>
        <v>1.448847230281666</v>
      </c>
      <c r="T10" s="4">
        <f t="shared" si="2"/>
        <v>9028.6933399193786</v>
      </c>
      <c r="U10" s="1">
        <f t="shared" si="4"/>
        <v>13220.416362981496</v>
      </c>
      <c r="V10" s="1">
        <f t="shared" si="6"/>
        <v>18438.037242496197</v>
      </c>
      <c r="W10" s="1">
        <f t="shared" si="7"/>
        <v>20872.176700942342</v>
      </c>
      <c r="X10" s="3">
        <f t="shared" si="8"/>
        <v>14442.173547323833</v>
      </c>
      <c r="Y10" s="4">
        <v>2031</v>
      </c>
      <c r="Z10" s="3">
        <f t="shared" si="5"/>
        <v>76001.49719366325</v>
      </c>
    </row>
    <row r="11" spans="2:26" x14ac:dyDescent="0.2">
      <c r="B11" s="4">
        <v>2032</v>
      </c>
      <c r="C11" s="7">
        <v>14.741880480978161</v>
      </c>
      <c r="D11" s="7">
        <v>25.065784154128121</v>
      </c>
      <c r="E11" s="7">
        <v>41.694588514008892</v>
      </c>
      <c r="F11" s="7">
        <v>60.333607678683798</v>
      </c>
      <c r="G11" s="8">
        <v>94.293260074375752</v>
      </c>
      <c r="H11" s="71">
        <v>9.7015547874174235</v>
      </c>
      <c r="I11" s="70">
        <v>20.733315979518029</v>
      </c>
      <c r="J11" s="70">
        <v>38.050772103079709</v>
      </c>
      <c r="K11" s="70">
        <v>57.387421469477417</v>
      </c>
      <c r="L11" s="8">
        <v>92.050105807624107</v>
      </c>
      <c r="M11" s="4">
        <v>2032</v>
      </c>
      <c r="N11" s="75">
        <f t="shared" si="3"/>
        <v>1.8326064154641326</v>
      </c>
      <c r="O11" s="75">
        <f t="shared" si="0"/>
        <v>1.578473281475457</v>
      </c>
      <c r="P11" s="75">
        <f t="shared" si="0"/>
        <v>1.3201452883707983</v>
      </c>
      <c r="Q11" s="75">
        <f t="shared" si="0"/>
        <v>1.0682381532749237</v>
      </c>
      <c r="R11" s="76">
        <f t="shared" si="0"/>
        <v>0.81381738871174036</v>
      </c>
      <c r="S11" s="22">
        <f t="shared" si="1"/>
        <v>1.3375677654721501</v>
      </c>
      <c r="T11" s="4">
        <f t="shared" si="2"/>
        <v>8335.2398537294339</v>
      </c>
      <c r="U11" s="1">
        <f t="shared" si="4"/>
        <v>12038.257786559176</v>
      </c>
      <c r="V11" s="1">
        <f t="shared" si="6"/>
        <v>16525.520453726869</v>
      </c>
      <c r="W11" s="1">
        <f t="shared" si="7"/>
        <v>18438.037242496197</v>
      </c>
      <c r="X11" s="3">
        <f t="shared" si="8"/>
        <v>12523.306020565404</v>
      </c>
      <c r="Y11" s="4">
        <v>2032</v>
      </c>
      <c r="Z11" s="3">
        <f t="shared" si="5"/>
        <v>67860.361357077083</v>
      </c>
    </row>
    <row r="12" spans="2:26" x14ac:dyDescent="0.2">
      <c r="B12" s="4">
        <v>2033</v>
      </c>
      <c r="C12" s="7">
        <v>15.21030746471501</v>
      </c>
      <c r="D12" s="7">
        <v>25.468125526163359</v>
      </c>
      <c r="E12" s="7">
        <v>42.031738823459172</v>
      </c>
      <c r="F12" s="7">
        <v>60.605935029162588</v>
      </c>
      <c r="G12" s="8">
        <v>94.500426250835289</v>
      </c>
      <c r="H12" s="71">
        <v>9.7015539313977026</v>
      </c>
      <c r="I12" s="70">
        <v>20.733315116556891</v>
      </c>
      <c r="J12" s="70">
        <v>38.050771250555798</v>
      </c>
      <c r="K12" s="70">
        <v>57.387420613364178</v>
      </c>
      <c r="L12" s="8">
        <v>92.050104953054912</v>
      </c>
      <c r="M12" s="4">
        <v>2033</v>
      </c>
      <c r="N12" s="75">
        <f t="shared" si="3"/>
        <v>1.7175687457740907</v>
      </c>
      <c r="O12" s="75">
        <f t="shared" si="0"/>
        <v>1.4752548616533758</v>
      </c>
      <c r="P12" s="75">
        <f t="shared" si="0"/>
        <v>1.2362209272387001</v>
      </c>
      <c r="Q12" s="75">
        <f t="shared" si="0"/>
        <v>0.99853675750410531</v>
      </c>
      <c r="R12" s="76">
        <f t="shared" si="0"/>
        <v>0.75961244710534948</v>
      </c>
      <c r="S12" s="22">
        <f t="shared" si="1"/>
        <v>1.2508850236846811</v>
      </c>
      <c r="T12" s="4">
        <f t="shared" si="2"/>
        <v>7795.0642733748891</v>
      </c>
      <c r="U12" s="1">
        <f t="shared" si="4"/>
        <v>11113.653138305914</v>
      </c>
      <c r="V12" s="1">
        <f t="shared" si="6"/>
        <v>15047.822233198967</v>
      </c>
      <c r="W12" s="1">
        <f t="shared" si="7"/>
        <v>16525.520453726869</v>
      </c>
      <c r="X12" s="3">
        <f t="shared" si="8"/>
        <v>11062.822345497716</v>
      </c>
      <c r="Y12" s="4">
        <v>2033</v>
      </c>
      <c r="Z12" s="3">
        <f t="shared" si="5"/>
        <v>61544.882444104354</v>
      </c>
    </row>
    <row r="13" spans="2:26" x14ac:dyDescent="0.2">
      <c r="B13" s="4">
        <v>2034</v>
      </c>
      <c r="C13" s="7">
        <v>15.652561821028019</v>
      </c>
      <c r="D13" s="7">
        <v>25.848368123981739</v>
      </c>
      <c r="E13" s="7">
        <v>42.350505512014159</v>
      </c>
      <c r="F13" s="7">
        <v>60.863631667388248</v>
      </c>
      <c r="G13" s="8">
        <v>94.696800082103977</v>
      </c>
      <c r="H13" s="71">
        <v>9.7015530909189529</v>
      </c>
      <c r="I13" s="70">
        <v>20.733314269262738</v>
      </c>
      <c r="J13" s="70">
        <v>38.050770413509397</v>
      </c>
      <c r="K13" s="70">
        <v>57.387419772793599</v>
      </c>
      <c r="L13" s="8">
        <v>92.050104114000405</v>
      </c>
      <c r="M13" s="4">
        <v>2034</v>
      </c>
      <c r="N13" s="75">
        <f t="shared" si="3"/>
        <v>1.6216023882364503</v>
      </c>
      <c r="O13" s="75">
        <f t="shared" si="0"/>
        <v>1.3942259654126232</v>
      </c>
      <c r="P13" s="75">
        <f t="shared" si="0"/>
        <v>1.1688142605384211</v>
      </c>
      <c r="Q13" s="75">
        <f t="shared" si="0"/>
        <v>0.94489075558620783</v>
      </c>
      <c r="R13" s="76">
        <f t="shared" si="0"/>
        <v>0.72004045785171422</v>
      </c>
      <c r="S13" s="22">
        <f t="shared" si="1"/>
        <v>1.1827393679674483</v>
      </c>
      <c r="T13" s="4">
        <f t="shared" si="2"/>
        <v>7370.4051270831114</v>
      </c>
      <c r="U13" s="1">
        <f t="shared" si="4"/>
        <v>10393.419031166522</v>
      </c>
      <c r="V13" s="1">
        <f t="shared" si="6"/>
        <v>13892.06642288239</v>
      </c>
      <c r="W13" s="1">
        <f t="shared" si="7"/>
        <v>15047.822233198967</v>
      </c>
      <c r="X13" s="3">
        <f t="shared" si="8"/>
        <v>9915.3122722361204</v>
      </c>
      <c r="Y13" s="4">
        <v>2034</v>
      </c>
      <c r="Z13" s="3">
        <f t="shared" si="5"/>
        <v>56619.025086567111</v>
      </c>
    </row>
    <row r="14" spans="2:26" x14ac:dyDescent="0.2">
      <c r="B14" s="4">
        <v>2035</v>
      </c>
      <c r="C14" s="7">
        <v>16.075898543763209</v>
      </c>
      <c r="D14" s="7">
        <v>26.2116756603914</v>
      </c>
      <c r="E14" s="7">
        <v>42.65422497499079</v>
      </c>
      <c r="F14" s="7">
        <v>61.108963859180797</v>
      </c>
      <c r="G14" s="8">
        <v>94.883554882126546</v>
      </c>
      <c r="H14" s="71">
        <v>9.7015522656990267</v>
      </c>
      <c r="I14" s="70">
        <v>20.733313437351161</v>
      </c>
      <c r="J14" s="70">
        <v>38.050769591659517</v>
      </c>
      <c r="K14" s="70">
        <v>57.387418947483553</v>
      </c>
      <c r="L14" s="8">
        <v>92.050103290178782</v>
      </c>
      <c r="M14" s="4">
        <v>2035</v>
      </c>
      <c r="N14" s="75">
        <f t="shared" si="3"/>
        <v>1.5522376758354255</v>
      </c>
      <c r="O14" s="75">
        <f t="shared" si="0"/>
        <v>1.3321306838445406</v>
      </c>
      <c r="P14" s="75">
        <f t="shared" si="0"/>
        <v>1.1136410443638738</v>
      </c>
      <c r="Q14" s="75">
        <f t="shared" si="0"/>
        <v>0.8995543960428497</v>
      </c>
      <c r="R14" s="76">
        <f t="shared" si="0"/>
        <v>0.68477062076203765</v>
      </c>
      <c r="S14" s="22">
        <f t="shared" si="1"/>
        <v>1.1282229134060104</v>
      </c>
      <c r="T14" s="4">
        <f t="shared" si="2"/>
        <v>7030.6782463413911</v>
      </c>
      <c r="U14" s="1">
        <f t="shared" si="4"/>
        <v>9827.2068361108177</v>
      </c>
      <c r="V14" s="1">
        <f t="shared" si="6"/>
        <v>12991.773788958149</v>
      </c>
      <c r="W14" s="1">
        <f t="shared" si="7"/>
        <v>13892.06642288239</v>
      </c>
      <c r="X14" s="3">
        <f t="shared" si="8"/>
        <v>9028.6933399193786</v>
      </c>
      <c r="Y14" s="4">
        <v>2035</v>
      </c>
      <c r="Z14" s="3">
        <f t="shared" si="5"/>
        <v>52770.418634212125</v>
      </c>
    </row>
    <row r="15" spans="2:26" x14ac:dyDescent="0.2">
      <c r="B15" s="4">
        <v>2036</v>
      </c>
      <c r="C15" s="7">
        <v>16.483653228512679</v>
      </c>
      <c r="D15" s="7">
        <v>26.56174985917858</v>
      </c>
      <c r="E15" s="7">
        <v>42.946989506646723</v>
      </c>
      <c r="F15" s="7">
        <v>61.345315946916308</v>
      </c>
      <c r="G15" s="8">
        <v>95.0633505379854</v>
      </c>
      <c r="H15" s="71">
        <v>9.701551455460903</v>
      </c>
      <c r="I15" s="70">
        <v>20.733312620542861</v>
      </c>
      <c r="J15" s="70">
        <v>38.050768784730259</v>
      </c>
      <c r="K15" s="70">
        <v>57.387418137156899</v>
      </c>
      <c r="L15" s="8">
        <v>92.05010248131363</v>
      </c>
      <c r="M15" s="4">
        <v>2036</v>
      </c>
      <c r="N15" s="75">
        <f t="shared" si="3"/>
        <v>1.4951034816211777</v>
      </c>
      <c r="O15" s="75">
        <f t="shared" si="0"/>
        <v>1.2836083905167566</v>
      </c>
      <c r="P15" s="75">
        <f t="shared" si="0"/>
        <v>1.0734729081457008</v>
      </c>
      <c r="Q15" s="75">
        <f t="shared" si="0"/>
        <v>0.86662729289460572</v>
      </c>
      <c r="R15" s="76">
        <f t="shared" si="0"/>
        <v>0.65925370398802363</v>
      </c>
      <c r="S15" s="22">
        <f t="shared" si="1"/>
        <v>1.0871734515112672</v>
      </c>
      <c r="T15" s="4">
        <f t="shared" si="2"/>
        <v>6774.8728063542567</v>
      </c>
      <c r="U15" s="1">
        <f t="shared" si="4"/>
        <v>9374.2376617885238</v>
      </c>
      <c r="V15" s="1">
        <f t="shared" si="6"/>
        <v>12284.00854513852</v>
      </c>
      <c r="W15" s="1">
        <f t="shared" si="7"/>
        <v>12991.773788958149</v>
      </c>
      <c r="X15" s="3">
        <f t="shared" si="8"/>
        <v>8335.2398537294339</v>
      </c>
      <c r="Y15" s="4">
        <v>2036</v>
      </c>
      <c r="Z15" s="3">
        <f t="shared" si="5"/>
        <v>49760.132655968882</v>
      </c>
    </row>
    <row r="16" spans="2:26" x14ac:dyDescent="0.2">
      <c r="B16" s="4">
        <v>2037</v>
      </c>
      <c r="C16" s="7">
        <v>16.878383500658639</v>
      </c>
      <c r="D16" s="7">
        <v>26.901295100515121</v>
      </c>
      <c r="E16" s="7">
        <v>43.231667985880271</v>
      </c>
      <c r="F16" s="7">
        <v>61.575031347836813</v>
      </c>
      <c r="G16" s="8">
        <v>95.237992979259317</v>
      </c>
      <c r="H16" s="71">
        <v>9.701550659932586</v>
      </c>
      <c r="I16" s="70">
        <v>20.733311818563649</v>
      </c>
      <c r="J16" s="70">
        <v>38.050767992450723</v>
      </c>
      <c r="K16" s="70">
        <v>57.387417341541678</v>
      </c>
      <c r="L16" s="8">
        <v>92.050101687133349</v>
      </c>
      <c r="M16" s="4">
        <v>2037</v>
      </c>
      <c r="N16" s="75">
        <f t="shared" si="3"/>
        <v>1.4473472481390157</v>
      </c>
      <c r="O16" s="75">
        <f t="shared" si="0"/>
        <v>1.245002158824428</v>
      </c>
      <c r="P16" s="75">
        <f t="shared" si="0"/>
        <v>1.0438239955479769</v>
      </c>
      <c r="Q16" s="75">
        <f t="shared" si="0"/>
        <v>0.84229272063099592</v>
      </c>
      <c r="R16" s="76">
        <f t="shared" si="0"/>
        <v>0.64035852999872611</v>
      </c>
      <c r="S16" s="22">
        <f t="shared" si="1"/>
        <v>1.0556942437847885</v>
      </c>
      <c r="T16" s="4">
        <f t="shared" si="2"/>
        <v>6578.7057383530682</v>
      </c>
      <c r="U16" s="1">
        <f t="shared" si="4"/>
        <v>9033.163741805678</v>
      </c>
      <c r="V16" s="1">
        <f t="shared" si="6"/>
        <v>11717.797077235653</v>
      </c>
      <c r="W16" s="1">
        <f t="shared" si="7"/>
        <v>12284.00854513852</v>
      </c>
      <c r="X16" s="3">
        <f t="shared" si="8"/>
        <v>7795.0642733748891</v>
      </c>
      <c r="Y16" s="4">
        <v>2037</v>
      </c>
      <c r="Z16" s="3">
        <f t="shared" si="5"/>
        <v>47408.739375907804</v>
      </c>
    </row>
    <row r="17" spans="2:26" x14ac:dyDescent="0.2">
      <c r="B17" s="4">
        <v>2038</v>
      </c>
      <c r="C17" s="7">
        <v>17.263605373665492</v>
      </c>
      <c r="D17" s="7">
        <v>27.232276237682822</v>
      </c>
      <c r="E17" s="7">
        <v>43.508687080208581</v>
      </c>
      <c r="F17" s="7">
        <v>61.798146348458133</v>
      </c>
      <c r="G17" s="8">
        <v>95.408825540229387</v>
      </c>
      <c r="H17" s="71">
        <v>9.7015498788470236</v>
      </c>
      <c r="I17" s="70">
        <v>20.733311031144311</v>
      </c>
      <c r="J17" s="70">
        <v>38.050767214554973</v>
      </c>
      <c r="K17" s="70">
        <v>57.387416560370802</v>
      </c>
      <c r="L17" s="8">
        <v>92.050100907371359</v>
      </c>
      <c r="M17" s="4">
        <v>2038</v>
      </c>
      <c r="N17" s="75">
        <f t="shared" si="3"/>
        <v>1.4124830650055202</v>
      </c>
      <c r="O17" s="75">
        <f t="shared" si="0"/>
        <v>1.2136003901524777</v>
      </c>
      <c r="P17" s="75">
        <f t="shared" si="0"/>
        <v>1.0157395314882176</v>
      </c>
      <c r="Q17" s="75">
        <f t="shared" si="0"/>
        <v>0.81809119990471635</v>
      </c>
      <c r="R17" s="76">
        <f t="shared" si="0"/>
        <v>0.62638891601755142</v>
      </c>
      <c r="S17" s="22">
        <f t="shared" si="1"/>
        <v>1.0283728503962122</v>
      </c>
      <c r="T17" s="4">
        <f t="shared" si="2"/>
        <v>6408.448669582056</v>
      </c>
      <c r="U17" s="1">
        <f t="shared" si="4"/>
        <v>8771.6076511374267</v>
      </c>
      <c r="V17" s="1">
        <f t="shared" si="6"/>
        <v>11291.454677257096</v>
      </c>
      <c r="W17" s="1">
        <f t="shared" si="7"/>
        <v>11717.797077235653</v>
      </c>
      <c r="X17" s="3">
        <f t="shared" si="8"/>
        <v>7370.4051270831114</v>
      </c>
      <c r="Y17" s="4">
        <v>2038</v>
      </c>
      <c r="Z17" s="3">
        <f t="shared" si="5"/>
        <v>45559.713202295345</v>
      </c>
    </row>
    <row r="18" spans="2:26" x14ac:dyDescent="0.2">
      <c r="B18" s="4">
        <v>2039</v>
      </c>
      <c r="C18" s="7">
        <v>17.641760825950691</v>
      </c>
      <c r="D18" s="7">
        <v>27.556962374548419</v>
      </c>
      <c r="E18" s="7">
        <v>43.780152556783307</v>
      </c>
      <c r="F18" s="7">
        <v>62.017329642437588</v>
      </c>
      <c r="G18" s="8">
        <v>95.575141796467776</v>
      </c>
      <c r="H18" s="71">
        <v>9.7015491119420094</v>
      </c>
      <c r="I18" s="70">
        <v>20.733310258020509</v>
      </c>
      <c r="J18" s="70">
        <v>38.050766450781843</v>
      </c>
      <c r="K18" s="70">
        <v>57.387415793382011</v>
      </c>
      <c r="L18" s="8">
        <v>92.050100141765896</v>
      </c>
      <c r="M18" s="4">
        <v>2039</v>
      </c>
      <c r="N18" s="75">
        <f t="shared" si="3"/>
        <v>1.3865728036974485</v>
      </c>
      <c r="O18" s="75">
        <f t="shared" si="0"/>
        <v>1.1905186699611303</v>
      </c>
      <c r="P18" s="75">
        <f t="shared" si="0"/>
        <v>0.99537621460880388</v>
      </c>
      <c r="Q18" s="75">
        <f t="shared" si="0"/>
        <v>0.80367489021690142</v>
      </c>
      <c r="R18" s="76">
        <f t="shared" si="0"/>
        <v>0.60982908009412518</v>
      </c>
      <c r="S18" s="22">
        <f t="shared" si="1"/>
        <v>1.0080368609808139</v>
      </c>
      <c r="T18" s="4">
        <f t="shared" si="2"/>
        <v>6281.7221187366767</v>
      </c>
      <c r="U18" s="1">
        <f t="shared" si="4"/>
        <v>8544.5982261094105</v>
      </c>
      <c r="V18" s="1">
        <f t="shared" si="6"/>
        <v>10964.509563921782</v>
      </c>
      <c r="W18" s="1">
        <f t="shared" si="7"/>
        <v>11291.454677257096</v>
      </c>
      <c r="X18" s="3">
        <f t="shared" si="8"/>
        <v>7030.6782463413911</v>
      </c>
      <c r="Y18" s="4">
        <v>2039</v>
      </c>
      <c r="Z18" s="3">
        <f t="shared" si="5"/>
        <v>44112.962832366356</v>
      </c>
    </row>
    <row r="19" spans="2:26" x14ac:dyDescent="0.2">
      <c r="B19" s="4">
        <v>2040</v>
      </c>
      <c r="C19" s="7">
        <v>18.01381324884273</v>
      </c>
      <c r="D19" s="7">
        <v>27.876102387307249</v>
      </c>
      <c r="E19" s="7">
        <v>44.047458939227198</v>
      </c>
      <c r="F19" s="7">
        <v>62.232647317160342</v>
      </c>
      <c r="G19" s="8">
        <v>95.739058357820369</v>
      </c>
      <c r="H19" s="71">
        <v>9.7015483589600944</v>
      </c>
      <c r="I19" s="70">
        <v>20.733309498932709</v>
      </c>
      <c r="J19" s="70">
        <v>38.050765700874969</v>
      </c>
      <c r="K19" s="70">
        <v>57.387415040317833</v>
      </c>
      <c r="L19" s="8">
        <v>92.050099390059955</v>
      </c>
      <c r="M19" s="4">
        <v>2040</v>
      </c>
      <c r="N19" s="75">
        <f t="shared" si="3"/>
        <v>1.3641949782045006</v>
      </c>
      <c r="O19" s="75">
        <f t="shared" si="0"/>
        <v>1.1701828301043105</v>
      </c>
      <c r="P19" s="75">
        <f t="shared" si="0"/>
        <v>0.98012615195280739</v>
      </c>
      <c r="Q19" s="75">
        <f t="shared" si="0"/>
        <v>0.78950090188542055</v>
      </c>
      <c r="R19" s="76">
        <f t="shared" si="0"/>
        <v>0.60103014788128917</v>
      </c>
      <c r="S19" s="22">
        <f t="shared" si="1"/>
        <v>0.9915835803804377</v>
      </c>
      <c r="T19" s="4">
        <f t="shared" si="2"/>
        <v>6179.191208733444</v>
      </c>
      <c r="U19" s="1">
        <f t="shared" si="4"/>
        <v>8375.6294916489041</v>
      </c>
      <c r="V19" s="1">
        <f t="shared" si="6"/>
        <v>10680.747782636761</v>
      </c>
      <c r="W19" s="1">
        <f t="shared" si="7"/>
        <v>10964.509563921782</v>
      </c>
      <c r="X19" s="3">
        <f t="shared" si="8"/>
        <v>6774.8728063542567</v>
      </c>
      <c r="Y19" s="4">
        <v>2040</v>
      </c>
      <c r="Z19" s="3">
        <f t="shared" si="5"/>
        <v>42974.950853295151</v>
      </c>
    </row>
    <row r="20" spans="2:26" x14ac:dyDescent="0.2">
      <c r="B20" s="4">
        <v>2041</v>
      </c>
      <c r="C20" s="7">
        <v>18.381374387208041</v>
      </c>
      <c r="D20" s="7">
        <v>28.191148252559639</v>
      </c>
      <c r="E20" s="7">
        <v>44.310790994932162</v>
      </c>
      <c r="F20" s="7">
        <v>62.445129474614852</v>
      </c>
      <c r="G20" s="8">
        <v>95.9010838027407</v>
      </c>
      <c r="H20" s="71">
        <v>9.7015476196485064</v>
      </c>
      <c r="I20" s="70">
        <v>20.73330875362609</v>
      </c>
      <c r="J20" s="70">
        <v>38.050764964582569</v>
      </c>
      <c r="K20" s="70">
        <v>57.387414300925499</v>
      </c>
      <c r="L20" s="8">
        <v>92.050098652001139</v>
      </c>
      <c r="M20" s="4">
        <v>2041</v>
      </c>
      <c r="N20" s="75">
        <f t="shared" si="3"/>
        <v>1.3477268848152946</v>
      </c>
      <c r="O20" s="75">
        <f t="shared" si="0"/>
        <v>1.1551709053830308</v>
      </c>
      <c r="P20" s="75">
        <f t="shared" si="0"/>
        <v>0.96555357065700065</v>
      </c>
      <c r="Q20" s="75">
        <f t="shared" si="0"/>
        <v>0.77910395510509289</v>
      </c>
      <c r="R20" s="76">
        <f t="shared" si="0"/>
        <v>0.59409600425687381</v>
      </c>
      <c r="S20" s="22">
        <f t="shared" si="1"/>
        <v>0.97823197275698326</v>
      </c>
      <c r="T20" s="4">
        <f t="shared" si="2"/>
        <v>6095.9888059489458</v>
      </c>
      <c r="U20" s="1">
        <f t="shared" si="4"/>
        <v>8238.921611644595</v>
      </c>
      <c r="V20" s="1">
        <f t="shared" si="6"/>
        <v>10469.536864561129</v>
      </c>
      <c r="W20" s="1">
        <f t="shared" si="7"/>
        <v>10680.747782636761</v>
      </c>
      <c r="X20" s="3">
        <f t="shared" si="8"/>
        <v>6578.7057383530682</v>
      </c>
      <c r="Y20" s="4">
        <v>2041</v>
      </c>
      <c r="Z20" s="3">
        <f t="shared" si="5"/>
        <v>42063.900803144505</v>
      </c>
    </row>
    <row r="21" spans="2:26" x14ac:dyDescent="0.2">
      <c r="B21" s="4">
        <v>2042</v>
      </c>
      <c r="C21" s="7">
        <v>18.744705089169841</v>
      </c>
      <c r="D21" s="7">
        <v>28.50309502413284</v>
      </c>
      <c r="E21" s="7">
        <v>44.571181395913477</v>
      </c>
      <c r="F21" s="7">
        <v>62.655457318283773</v>
      </c>
      <c r="G21" s="8">
        <v>96.060830054260023</v>
      </c>
      <c r="H21" s="71">
        <v>9.7015468937590601</v>
      </c>
      <c r="I21" s="70">
        <v>20.733308021850451</v>
      </c>
      <c r="J21" s="70">
        <v>38.050764241657518</v>
      </c>
      <c r="K21" s="70">
        <v>57.387413574956732</v>
      </c>
      <c r="L21" s="8">
        <v>92.050097927341739</v>
      </c>
      <c r="M21" s="4">
        <v>2042</v>
      </c>
      <c r="N21" s="75">
        <f t="shared" si="3"/>
        <v>1.3322152354545704</v>
      </c>
      <c r="O21" s="75">
        <f t="shared" ref="O21:O44" si="9">((D21-I21)-(D20-I20))*44/12</f>
        <v>1.1438075122790796</v>
      </c>
      <c r="P21" s="75">
        <f t="shared" ref="P21:P44" si="10">((E21-J21)-(E20-J20))*44/12</f>
        <v>0.9547674543233432</v>
      </c>
      <c r="Q21" s="75">
        <f t="shared" ref="Q21:Q44" si="11">((F21-K21)-(F20-K20))*44/12</f>
        <v>0.77120475533819166</v>
      </c>
      <c r="R21" s="76">
        <f t="shared" ref="R21:R44" si="12">((G21-L21)-(G20-L20))*44/12</f>
        <v>0.58573891265532063</v>
      </c>
      <c r="S21" s="22">
        <f t="shared" si="1"/>
        <v>0.96780967570848087</v>
      </c>
      <c r="T21" s="4">
        <f t="shared" si="2"/>
        <v>6031.0408100652248</v>
      </c>
      <c r="U21" s="1">
        <f t="shared" si="4"/>
        <v>8127.9850745985968</v>
      </c>
      <c r="V21" s="1">
        <f t="shared" si="6"/>
        <v>10298.652014555741</v>
      </c>
      <c r="W21" s="1">
        <f t="shared" si="7"/>
        <v>10469.536864561129</v>
      </c>
      <c r="X21" s="3">
        <f t="shared" si="8"/>
        <v>6408.448669582056</v>
      </c>
      <c r="Y21" s="4">
        <v>2042</v>
      </c>
      <c r="Z21" s="3">
        <f t="shared" si="5"/>
        <v>41335.663433362744</v>
      </c>
    </row>
    <row r="22" spans="2:26" x14ac:dyDescent="0.2">
      <c r="B22" s="4">
        <v>2043</v>
      </c>
      <c r="C22" s="7">
        <v>19.104894752754191</v>
      </c>
      <c r="D22" s="7">
        <v>28.8118310075021</v>
      </c>
      <c r="E22" s="7">
        <v>44.830166473735282</v>
      </c>
      <c r="F22" s="7">
        <v>62.863285434251289</v>
      </c>
      <c r="G22" s="8">
        <v>96.218903633875101</v>
      </c>
      <c r="H22" s="71">
        <v>9.7015461810480783</v>
      </c>
      <c r="I22" s="70">
        <v>20.733307303360139</v>
      </c>
      <c r="J22" s="70">
        <v>38.050763531857108</v>
      </c>
      <c r="K22" s="70">
        <v>57.387412862167899</v>
      </c>
      <c r="L22" s="8">
        <v>92.050097215838491</v>
      </c>
      <c r="M22" s="4">
        <v>2043</v>
      </c>
      <c r="N22" s="75">
        <f t="shared" si="3"/>
        <v>1.3206980464162175</v>
      </c>
      <c r="O22" s="75">
        <f t="shared" si="9"/>
        <v>1.1320345734851003</v>
      </c>
      <c r="P22" s="75">
        <f t="shared" si="10"/>
        <v>0.94961455461479005</v>
      </c>
      <c r="Q22" s="75">
        <f t="shared" si="11"/>
        <v>0.76203903877327639</v>
      </c>
      <c r="R22" s="76">
        <f t="shared" si="12"/>
        <v>0.57960573410052518</v>
      </c>
      <c r="S22" s="22">
        <f t="shared" si="1"/>
        <v>0.95934559244537587</v>
      </c>
      <c r="T22" s="4">
        <f t="shared" si="2"/>
        <v>5978.2956961643877</v>
      </c>
      <c r="U22" s="1">
        <f t="shared" si="4"/>
        <v>8041.387746753634</v>
      </c>
      <c r="V22" s="1">
        <f t="shared" si="6"/>
        <v>10159.981343248244</v>
      </c>
      <c r="W22" s="1">
        <f t="shared" si="7"/>
        <v>10298.652014555741</v>
      </c>
      <c r="X22" s="3">
        <f t="shared" si="8"/>
        <v>6281.7221187366767</v>
      </c>
      <c r="Y22" s="4">
        <v>2043</v>
      </c>
      <c r="Z22" s="3">
        <f t="shared" si="5"/>
        <v>40760.038919458682</v>
      </c>
    </row>
    <row r="23" spans="2:26" x14ac:dyDescent="0.2">
      <c r="B23" s="4">
        <v>2044</v>
      </c>
      <c r="C23" s="7">
        <v>19.46266895783841</v>
      </c>
      <c r="D23" s="7">
        <v>29.119021865762409</v>
      </c>
      <c r="E23" s="7">
        <v>45.086289891183448</v>
      </c>
      <c r="F23" s="7">
        <v>63.07010529773941</v>
      </c>
      <c r="G23" s="8">
        <v>96.375670438999535</v>
      </c>
      <c r="H23" s="71">
        <v>9.7015454812763089</v>
      </c>
      <c r="I23" s="70">
        <v>20.733306597913959</v>
      </c>
      <c r="J23" s="70">
        <v>38.050762834943093</v>
      </c>
      <c r="K23" s="70">
        <v>57.387412162319698</v>
      </c>
      <c r="L23" s="8">
        <v>92.05009651725247</v>
      </c>
      <c r="M23" s="4">
        <v>2044</v>
      </c>
      <c r="N23" s="75">
        <f t="shared" si="3"/>
        <v>1.3118413178052908</v>
      </c>
      <c r="O23" s="75">
        <f t="shared" si="9"/>
        <v>1.1263690669237931</v>
      </c>
      <c r="P23" s="75">
        <f t="shared" si="10"/>
        <v>0.93912175266132658</v>
      </c>
      <c r="Q23" s="75">
        <f t="shared" si="11"/>
        <v>0.75834206556651418</v>
      </c>
      <c r="R23" s="76">
        <f t="shared" si="12"/>
        <v>0.57481418027166831</v>
      </c>
      <c r="S23" s="22">
        <f t="shared" si="1"/>
        <v>0.95230132773252762</v>
      </c>
      <c r="T23" s="4">
        <f t="shared" si="2"/>
        <v>5934.3983793401985</v>
      </c>
      <c r="U23" s="1">
        <f t="shared" si="4"/>
        <v>7971.0609282191845</v>
      </c>
      <c r="V23" s="1">
        <f t="shared" si="6"/>
        <v>10051.734683442042</v>
      </c>
      <c r="W23" s="1">
        <f t="shared" si="7"/>
        <v>10159.981343248244</v>
      </c>
      <c r="X23" s="3">
        <f t="shared" si="8"/>
        <v>6179.191208733444</v>
      </c>
      <c r="Y23" s="4">
        <v>2044</v>
      </c>
      <c r="Z23" s="3">
        <f t="shared" si="5"/>
        <v>40296.366542983109</v>
      </c>
    </row>
    <row r="24" spans="2:26" x14ac:dyDescent="0.2">
      <c r="B24" s="4">
        <v>2045</v>
      </c>
      <c r="C24" s="7">
        <v>19.817715725372349</v>
      </c>
      <c r="D24" s="7">
        <v>29.42407468351281</v>
      </c>
      <c r="E24" s="7">
        <v>45.341197387995031</v>
      </c>
      <c r="F24" s="7">
        <v>63.276047203423779</v>
      </c>
      <c r="G24" s="8">
        <v>96.531403466917467</v>
      </c>
      <c r="H24" s="71">
        <v>9.7015447942088429</v>
      </c>
      <c r="I24" s="70">
        <v>20.73330590527511</v>
      </c>
      <c r="J24" s="70">
        <v>38.050762150681471</v>
      </c>
      <c r="K24" s="70">
        <v>57.387411475177153</v>
      </c>
      <c r="L24" s="8">
        <v>92.050095831349239</v>
      </c>
      <c r="M24" s="4">
        <v>2045</v>
      </c>
      <c r="N24" s="75">
        <f t="shared" si="3"/>
        <v>1.3018406668718161</v>
      </c>
      <c r="O24" s="75">
        <f t="shared" si="9"/>
        <v>1.1185295380939166</v>
      </c>
      <c r="P24" s="75">
        <f t="shared" si="10"/>
        <v>0.93466333060175089</v>
      </c>
      <c r="Q24" s="75">
        <f t="shared" si="11"/>
        <v>0.75512284036535482</v>
      </c>
      <c r="R24" s="76">
        <f t="shared" si="12"/>
        <v>0.57102361734426665</v>
      </c>
      <c r="S24" s="22">
        <f t="shared" si="1"/>
        <v>0.94666551418732015</v>
      </c>
      <c r="T24" s="4">
        <f t="shared" si="2"/>
        <v>5899.2780221644116</v>
      </c>
      <c r="U24" s="1">
        <f t="shared" si="4"/>
        <v>7912.5311724536004</v>
      </c>
      <c r="V24" s="1">
        <f t="shared" si="6"/>
        <v>9963.8261602739803</v>
      </c>
      <c r="W24" s="1">
        <f t="shared" si="7"/>
        <v>10051.734683442042</v>
      </c>
      <c r="X24" s="3">
        <f t="shared" si="8"/>
        <v>6095.9888059489458</v>
      </c>
      <c r="Y24" s="4">
        <v>2045</v>
      </c>
      <c r="Z24" s="3">
        <f t="shared" si="5"/>
        <v>39923.358844282979</v>
      </c>
    </row>
    <row r="25" spans="2:26" x14ac:dyDescent="0.2">
      <c r="B25" s="4">
        <v>2046</v>
      </c>
      <c r="C25" s="7">
        <v>20.170698780408681</v>
      </c>
      <c r="D25" s="7">
        <v>29.72753020279405</v>
      </c>
      <c r="E25" s="7">
        <v>45.59504814278781</v>
      </c>
      <c r="F25" s="7">
        <v>63.480442284090039</v>
      </c>
      <c r="G25" s="8">
        <v>96.687159971912195</v>
      </c>
      <c r="H25" s="71">
        <v>9.7015441196150345</v>
      </c>
      <c r="I25" s="70">
        <v>20.733305225211058</v>
      </c>
      <c r="J25" s="70">
        <v>38.050761478842567</v>
      </c>
      <c r="K25" s="70">
        <v>57.387410800509628</v>
      </c>
      <c r="L25" s="8">
        <v>92.050095157898539</v>
      </c>
      <c r="M25" s="4">
        <v>2046</v>
      </c>
      <c r="N25" s="75">
        <f t="shared" si="3"/>
        <v>1.294273675310518</v>
      </c>
      <c r="O25" s="75">
        <f t="shared" si="9"/>
        <v>1.112672730932734</v>
      </c>
      <c r="P25" s="75">
        <f t="shared" si="10"/>
        <v>0.93078856431617396</v>
      </c>
      <c r="Q25" s="75">
        <f t="shared" si="11"/>
        <v>0.74945110289054406</v>
      </c>
      <c r="R25" s="76">
        <f t="shared" si="12"/>
        <v>0.57110965429989824</v>
      </c>
      <c r="S25" s="22">
        <f t="shared" si="1"/>
        <v>0.94222191048465442</v>
      </c>
      <c r="T25" s="4">
        <f t="shared" si="2"/>
        <v>5871.5870866972546</v>
      </c>
      <c r="U25" s="1">
        <f t="shared" si="4"/>
        <v>7865.7040295525503</v>
      </c>
      <c r="V25" s="1">
        <f t="shared" si="6"/>
        <v>9890.6639655669987</v>
      </c>
      <c r="W25" s="1">
        <f t="shared" si="7"/>
        <v>9963.8261602739803</v>
      </c>
      <c r="X25" s="3">
        <f t="shared" si="8"/>
        <v>6031.0408100652248</v>
      </c>
      <c r="Y25" s="4">
        <v>2046</v>
      </c>
      <c r="Z25" s="3">
        <f t="shared" si="5"/>
        <v>39622.822052156014</v>
      </c>
    </row>
    <row r="26" spans="2:26" x14ac:dyDescent="0.2">
      <c r="B26" s="4">
        <v>2047</v>
      </c>
      <c r="C26" s="7">
        <v>20.522880481004361</v>
      </c>
      <c r="D26" s="7">
        <v>30.029706150115629</v>
      </c>
      <c r="E26" s="7">
        <v>45.847194793678021</v>
      </c>
      <c r="F26" s="7">
        <v>63.683688522345982</v>
      </c>
      <c r="G26" s="8">
        <v>96.841980288536348</v>
      </c>
      <c r="H26" s="71">
        <v>9.7015434572684232</v>
      </c>
      <c r="I26" s="70">
        <v>20.733304557493511</v>
      </c>
      <c r="J26" s="70">
        <v>38.050760819200853</v>
      </c>
      <c r="K26" s="70">
        <v>57.387410138090672</v>
      </c>
      <c r="L26" s="8">
        <v>92.050094496674262</v>
      </c>
      <c r="M26" s="4">
        <v>2047</v>
      </c>
      <c r="N26" s="75">
        <f t="shared" si="3"/>
        <v>1.2913353307883984</v>
      </c>
      <c r="O26" s="75">
        <f t="shared" si="9"/>
        <v>1.1079809218101306</v>
      </c>
      <c r="P26" s="75">
        <f t="shared" si="10"/>
        <v>0.92454013861705653</v>
      </c>
      <c r="Q26" s="75">
        <f t="shared" si="11"/>
        <v>0.74523863580796024</v>
      </c>
      <c r="R26" s="76">
        <f t="shared" si="12"/>
        <v>0.56767691877757898</v>
      </c>
      <c r="S26" s="22">
        <f t="shared" si="1"/>
        <v>0.93720762777742983</v>
      </c>
      <c r="T26" s="4">
        <f t="shared" si="2"/>
        <v>5840.3398855176029</v>
      </c>
      <c r="U26" s="1">
        <f t="shared" si="4"/>
        <v>7828.7827822630079</v>
      </c>
      <c r="V26" s="1">
        <f t="shared" si="6"/>
        <v>9832.1300369406872</v>
      </c>
      <c r="W26" s="1">
        <f t="shared" si="7"/>
        <v>9890.6639655669987</v>
      </c>
      <c r="X26" s="3">
        <f t="shared" si="8"/>
        <v>5978.2956961643877</v>
      </c>
      <c r="Y26" s="4">
        <v>2047</v>
      </c>
      <c r="Z26" s="3">
        <f t="shared" si="5"/>
        <v>39370.212366452688</v>
      </c>
    </row>
    <row r="27" spans="2:26" x14ac:dyDescent="0.2">
      <c r="B27" s="4">
        <v>2048</v>
      </c>
      <c r="C27" s="7">
        <v>20.873454282678772</v>
      </c>
      <c r="D27" s="7">
        <v>30.329987172523051</v>
      </c>
      <c r="E27" s="7">
        <v>46.098051524574018</v>
      </c>
      <c r="F27" s="7">
        <v>63.885996912690928</v>
      </c>
      <c r="G27" s="8">
        <v>96.996132033901745</v>
      </c>
      <c r="H27" s="71">
        <v>9.7015428069466623</v>
      </c>
      <c r="I27" s="70">
        <v>20.733303901898331</v>
      </c>
      <c r="J27" s="70">
        <v>38.050760171534861</v>
      </c>
      <c r="K27" s="70">
        <v>57.387409487697873</v>
      </c>
      <c r="L27" s="8">
        <v>92.050093847454505</v>
      </c>
      <c r="M27" s="4">
        <v>2048</v>
      </c>
      <c r="N27" s="75">
        <f t="shared" si="3"/>
        <v>1.2854396573192972</v>
      </c>
      <c r="O27" s="75">
        <f t="shared" si="9"/>
        <v>1.1010328193428727</v>
      </c>
      <c r="P27" s="75">
        <f t="shared" si="10"/>
        <v>0.91981038806062543</v>
      </c>
      <c r="Q27" s="75">
        <f t="shared" si="11"/>
        <v>0.74179981603839928</v>
      </c>
      <c r="R27" s="76">
        <f t="shared" si="12"/>
        <v>0.5652254468122303</v>
      </c>
      <c r="S27" s="22">
        <f t="shared" si="1"/>
        <v>0.93200386933561541</v>
      </c>
      <c r="T27" s="4">
        <f t="shared" si="2"/>
        <v>5807.9119399038855</v>
      </c>
      <c r="U27" s="1">
        <f t="shared" si="4"/>
        <v>7787.1198473568056</v>
      </c>
      <c r="V27" s="1">
        <f t="shared" si="6"/>
        <v>9785.9784778287576</v>
      </c>
      <c r="W27" s="1">
        <f t="shared" si="7"/>
        <v>9832.1300369406872</v>
      </c>
      <c r="X27" s="3">
        <f t="shared" si="8"/>
        <v>5934.3983793401985</v>
      </c>
      <c r="Y27" s="4">
        <v>2048</v>
      </c>
      <c r="Z27" s="3">
        <f t="shared" si="5"/>
        <v>39147.538681370337</v>
      </c>
    </row>
    <row r="28" spans="2:26" x14ac:dyDescent="0.2">
      <c r="B28" s="4">
        <v>2049</v>
      </c>
      <c r="C28" s="7">
        <v>21.222802524003839</v>
      </c>
      <c r="D28" s="7">
        <v>30.62966437794163</v>
      </c>
      <c r="E28" s="7">
        <v>46.348694801295331</v>
      </c>
      <c r="F28" s="7">
        <v>64.087525415074595</v>
      </c>
      <c r="G28" s="8">
        <v>97.148876063871455</v>
      </c>
      <c r="H28" s="71">
        <v>9.7015421684314394</v>
      </c>
      <c r="I28" s="70">
        <v>20.733303258205421</v>
      </c>
      <c r="J28" s="70">
        <v>38.050759535627201</v>
      </c>
      <c r="K28" s="70">
        <v>57.387408849112902</v>
      </c>
      <c r="L28" s="8">
        <v>92.050093210021274</v>
      </c>
      <c r="M28" s="4">
        <v>2049</v>
      </c>
      <c r="N28" s="75">
        <f t="shared" si="3"/>
        <v>1.2809458927477315</v>
      </c>
      <c r="O28" s="75">
        <f t="shared" si="9"/>
        <v>1.0988187800754616</v>
      </c>
      <c r="P28" s="75">
        <f t="shared" si="10"/>
        <v>0.91902767963956933</v>
      </c>
      <c r="Q28" s="75">
        <f t="shared" si="11"/>
        <v>0.73894018355167412</v>
      </c>
      <c r="R28" s="76">
        <f t="shared" si="12"/>
        <v>0.56006378047745409</v>
      </c>
      <c r="S28" s="22">
        <f t="shared" si="1"/>
        <v>0.92984196689150111</v>
      </c>
      <c r="T28" s="4">
        <f t="shared" si="2"/>
        <v>5794.4397436703766</v>
      </c>
      <c r="U28" s="1">
        <f t="shared" si="4"/>
        <v>7743.8825865385161</v>
      </c>
      <c r="V28" s="1">
        <f t="shared" si="6"/>
        <v>9733.8998091960057</v>
      </c>
      <c r="W28" s="1">
        <f t="shared" si="7"/>
        <v>9785.9784778287576</v>
      </c>
      <c r="X28" s="3">
        <f t="shared" si="8"/>
        <v>5899.2780221644116</v>
      </c>
      <c r="Y28" s="4">
        <v>2049</v>
      </c>
      <c r="Z28" s="3">
        <f t="shared" si="5"/>
        <v>38957.478639398068</v>
      </c>
    </row>
    <row r="29" spans="2:26" x14ac:dyDescent="0.2">
      <c r="B29" s="4">
        <v>2050</v>
      </c>
      <c r="C29" s="7">
        <v>21.57112545733964</v>
      </c>
      <c r="D29" s="7">
        <v>30.92786635604536</v>
      </c>
      <c r="E29" s="7">
        <v>46.598179459568541</v>
      </c>
      <c r="F29" s="7">
        <v>64.289245903837951</v>
      </c>
      <c r="G29" s="8">
        <v>97.301410556839301</v>
      </c>
      <c r="H29" s="71">
        <v>9.7015415415084085</v>
      </c>
      <c r="I29" s="70">
        <v>20.733302626198711</v>
      </c>
      <c r="J29" s="70">
        <v>38.050758911264403</v>
      </c>
      <c r="K29" s="70">
        <v>57.387408222121373</v>
      </c>
      <c r="L29" s="8">
        <v>92.050092584160566</v>
      </c>
      <c r="M29" s="4">
        <v>2050</v>
      </c>
      <c r="N29" s="75">
        <f t="shared" si="3"/>
        <v>1.277186387615717</v>
      </c>
      <c r="O29" s="75">
        <f t="shared" si="9"/>
        <v>1.0934095704049476</v>
      </c>
      <c r="P29" s="75">
        <f t="shared" si="10"/>
        <v>0.91477936966536555</v>
      </c>
      <c r="Q29" s="75">
        <f t="shared" si="11"/>
        <v>0.73964409110124762</v>
      </c>
      <c r="R29" s="76">
        <f t="shared" si="12"/>
        <v>0.55929543570469298</v>
      </c>
      <c r="S29" s="22">
        <f t="shared" si="1"/>
        <v>0.9261404732450228</v>
      </c>
      <c r="T29" s="4">
        <f t="shared" si="2"/>
        <v>5771.3733703942826</v>
      </c>
      <c r="U29" s="1">
        <f t="shared" si="4"/>
        <v>7725.9196582271707</v>
      </c>
      <c r="V29" s="1">
        <f t="shared" si="6"/>
        <v>9679.853233173144</v>
      </c>
      <c r="W29" s="1">
        <f t="shared" si="7"/>
        <v>9733.8998091960057</v>
      </c>
      <c r="X29" s="3">
        <f t="shared" si="8"/>
        <v>5871.5870866972546</v>
      </c>
      <c r="Y29" s="4">
        <v>2050</v>
      </c>
      <c r="Z29" s="3">
        <f t="shared" si="5"/>
        <v>38782.633157687858</v>
      </c>
    </row>
    <row r="30" spans="2:26" x14ac:dyDescent="0.2">
      <c r="B30" s="4">
        <v>2051</v>
      </c>
      <c r="C30" s="7">
        <v>21.91857376140651</v>
      </c>
      <c r="D30" s="7">
        <v>31.225779996404409</v>
      </c>
      <c r="E30" s="7">
        <v>46.847637491055018</v>
      </c>
      <c r="F30" s="7">
        <v>64.489282290556645</v>
      </c>
      <c r="G30" s="8">
        <v>97.453647345722771</v>
      </c>
      <c r="H30" s="71">
        <v>9.7015409259671159</v>
      </c>
      <c r="I30" s="70">
        <v>20.73330200566603</v>
      </c>
      <c r="J30" s="70">
        <v>38.050758298236858</v>
      </c>
      <c r="K30" s="70">
        <v>57.387407606512816</v>
      </c>
      <c r="L30" s="8">
        <v>92.050091969662333</v>
      </c>
      <c r="M30" s="4">
        <v>2051</v>
      </c>
      <c r="N30" s="75">
        <f t="shared" si="3"/>
        <v>1.2739793718965942</v>
      </c>
      <c r="O30" s="75">
        <f t="shared" si="9"/>
        <v>1.0923522899363434</v>
      </c>
      <c r="P30" s="75">
        <f t="shared" si="10"/>
        <v>0.91468169655141196</v>
      </c>
      <c r="Q30" s="75">
        <f t="shared" si="11"/>
        <v>0.73346900853324826</v>
      </c>
      <c r="R30" s="76">
        <f t="shared" si="12"/>
        <v>0.55820381239958294</v>
      </c>
      <c r="S30" s="22">
        <f t="shared" si="1"/>
        <v>0.92478459701424098</v>
      </c>
      <c r="T30" s="4">
        <f t="shared" si="2"/>
        <v>5762.9240387886066</v>
      </c>
      <c r="U30" s="1">
        <f t="shared" si="4"/>
        <v>7695.1644938590453</v>
      </c>
      <c r="V30" s="1">
        <f t="shared" si="6"/>
        <v>9657.3995727839629</v>
      </c>
      <c r="W30" s="1">
        <f t="shared" si="7"/>
        <v>9679.853233173144</v>
      </c>
      <c r="X30" s="3">
        <f t="shared" si="8"/>
        <v>5840.3398855176029</v>
      </c>
      <c r="Y30" s="4">
        <v>2051</v>
      </c>
      <c r="Z30" s="3">
        <f t="shared" si="5"/>
        <v>38635.681224122367</v>
      </c>
    </row>
    <row r="31" spans="2:26" x14ac:dyDescent="0.2">
      <c r="B31" s="4">
        <v>2052</v>
      </c>
      <c r="C31" s="7">
        <v>22.26526138008893</v>
      </c>
      <c r="D31" s="7">
        <v>31.52330979161108</v>
      </c>
      <c r="E31" s="7">
        <v>47.096079185817267</v>
      </c>
      <c r="F31" s="7">
        <v>64.689821111851273</v>
      </c>
      <c r="G31" s="8">
        <v>97.605607999882693</v>
      </c>
      <c r="H31" s="71">
        <v>9.7015403216009286</v>
      </c>
      <c r="I31" s="70">
        <v>20.733301396399071</v>
      </c>
      <c r="J31" s="70">
        <v>38.050757696338778</v>
      </c>
      <c r="K31" s="70">
        <v>57.387407002080622</v>
      </c>
      <c r="L31" s="8">
        <v>92.050091366320245</v>
      </c>
      <c r="M31" s="4">
        <v>2052</v>
      </c>
      <c r="N31" s="75">
        <f t="shared" si="3"/>
        <v>1.2711901511782273</v>
      </c>
      <c r="O31" s="75">
        <f t="shared" si="9"/>
        <v>1.0909448164033091</v>
      </c>
      <c r="P31" s="75">
        <f t="shared" si="10"/>
        <v>0.91095508775453971</v>
      </c>
      <c r="Q31" s="75">
        <f t="shared" si="11"/>
        <v>0.73531122766501988</v>
      </c>
      <c r="R31" s="76">
        <f t="shared" si="12"/>
        <v>0.55719127750736652</v>
      </c>
      <c r="S31" s="22">
        <f t="shared" si="1"/>
        <v>0.92298873677515469</v>
      </c>
      <c r="T31" s="4">
        <f t="shared" si="2"/>
        <v>5751.7328855454089</v>
      </c>
      <c r="U31" s="1">
        <f t="shared" si="4"/>
        <v>7683.8987183848103</v>
      </c>
      <c r="V31" s="1">
        <f t="shared" si="6"/>
        <v>9618.9556173238052</v>
      </c>
      <c r="W31" s="1">
        <f t="shared" si="7"/>
        <v>9657.3995727839629</v>
      </c>
      <c r="X31" s="3">
        <f t="shared" si="8"/>
        <v>5807.9119399038855</v>
      </c>
      <c r="Y31" s="4">
        <v>2052</v>
      </c>
      <c r="Z31" s="3">
        <f t="shared" si="5"/>
        <v>38519.898733941867</v>
      </c>
    </row>
    <row r="32" spans="2:26" x14ac:dyDescent="0.2">
      <c r="B32" s="4">
        <v>2053</v>
      </c>
      <c r="C32" s="7">
        <v>22.611274972814471</v>
      </c>
      <c r="D32" s="7">
        <v>31.819619509969229</v>
      </c>
      <c r="E32" s="7">
        <v>47.343750062144238</v>
      </c>
      <c r="F32" s="7">
        <v>64.888823299205256</v>
      </c>
      <c r="G32" s="8">
        <v>97.757309864161115</v>
      </c>
      <c r="H32" s="71">
        <v>9.70153972820696</v>
      </c>
      <c r="I32" s="70">
        <v>20.733300798193309</v>
      </c>
      <c r="J32" s="70">
        <v>38.05075710536812</v>
      </c>
      <c r="K32" s="70">
        <v>57.387406408621821</v>
      </c>
      <c r="L32" s="8">
        <v>92.050090773931814</v>
      </c>
      <c r="M32" s="4">
        <v>2053</v>
      </c>
      <c r="N32" s="75">
        <f t="shared" si="3"/>
        <v>1.2687186824382011</v>
      </c>
      <c r="O32" s="75">
        <f t="shared" si="9"/>
        <v>1.0864711607343409</v>
      </c>
      <c r="P32" s="75">
        <f t="shared" si="10"/>
        <v>0.90812871342463808</v>
      </c>
      <c r="Q32" s="75">
        <f t="shared" si="11"/>
        <v>0.72967686298020595</v>
      </c>
      <c r="R32" s="76">
        <f t="shared" si="12"/>
        <v>0.5562423411117976</v>
      </c>
      <c r="S32" s="22">
        <f t="shared" si="1"/>
        <v>0.9193923228687273</v>
      </c>
      <c r="T32" s="4">
        <f t="shared" si="2"/>
        <v>5729.3213313070491</v>
      </c>
      <c r="U32" s="1">
        <f t="shared" si="4"/>
        <v>7668.9771807272136</v>
      </c>
      <c r="V32" s="1">
        <f t="shared" si="6"/>
        <v>9604.8733979810113</v>
      </c>
      <c r="W32" s="1">
        <f t="shared" si="7"/>
        <v>9618.9556173238052</v>
      </c>
      <c r="X32" s="3">
        <f t="shared" si="8"/>
        <v>5794.4397436703766</v>
      </c>
      <c r="Y32" s="4">
        <v>2053</v>
      </c>
      <c r="Z32" s="3">
        <f t="shared" si="5"/>
        <v>38416.567271009459</v>
      </c>
    </row>
    <row r="33" spans="2:26" x14ac:dyDescent="0.2">
      <c r="B33" s="4">
        <v>2054</v>
      </c>
      <c r="C33" s="7">
        <v>22.95582777614063</v>
      </c>
      <c r="D33" s="7">
        <v>32.114983177799587</v>
      </c>
      <c r="E33" s="7">
        <v>47.59074810057124</v>
      </c>
      <c r="F33" s="7">
        <v>65.087586874033335</v>
      </c>
      <c r="G33" s="8">
        <v>97.908766958914782</v>
      </c>
      <c r="H33" s="71">
        <v>9.7015391455860147</v>
      </c>
      <c r="I33" s="70">
        <v>20.733300210847919</v>
      </c>
      <c r="J33" s="70">
        <v>38.050756525126488</v>
      </c>
      <c r="K33" s="70">
        <v>57.387405825937208</v>
      </c>
      <c r="L33" s="8">
        <v>92.050090192298128</v>
      </c>
      <c r="M33" s="4">
        <v>2054</v>
      </c>
      <c r="N33" s="75">
        <f t="shared" si="3"/>
        <v>1.2633624151393843</v>
      </c>
      <c r="O33" s="75">
        <f t="shared" si="9"/>
        <v>1.0830022689777437</v>
      </c>
      <c r="P33" s="75">
        <f t="shared" si="10"/>
        <v>0.90566160178499189</v>
      </c>
      <c r="Q33" s="75">
        <f t="shared" si="11"/>
        <v>0.72880191087986879</v>
      </c>
      <c r="R33" s="76">
        <f t="shared" si="12"/>
        <v>0.55534481342029096</v>
      </c>
      <c r="S33" s="22">
        <f t="shared" si="1"/>
        <v>0.91687642389599455</v>
      </c>
      <c r="T33" s="4">
        <f t="shared" si="2"/>
        <v>5713.6431563937385</v>
      </c>
      <c r="U33" s="1">
        <f t="shared" si="4"/>
        <v>7639.0951084094013</v>
      </c>
      <c r="V33" s="1">
        <f t="shared" si="6"/>
        <v>9586.2214759090166</v>
      </c>
      <c r="W33" s="1">
        <f t="shared" si="7"/>
        <v>9604.8733979810113</v>
      </c>
      <c r="X33" s="3">
        <f t="shared" si="8"/>
        <v>5771.3733703942826</v>
      </c>
      <c r="Y33" s="4">
        <v>2054</v>
      </c>
      <c r="Z33" s="3">
        <f t="shared" si="5"/>
        <v>38315.206509087453</v>
      </c>
    </row>
    <row r="34" spans="2:26" x14ac:dyDescent="0.2">
      <c r="B34" s="4">
        <v>2055</v>
      </c>
      <c r="C34" s="7">
        <v>23.30008367514473</v>
      </c>
      <c r="D34" s="7">
        <v>32.410373229863772</v>
      </c>
      <c r="E34" s="7">
        <v>47.835438248791213</v>
      </c>
      <c r="F34" s="7">
        <v>65.286012344170814</v>
      </c>
      <c r="G34" s="8">
        <v>98.059990723641391</v>
      </c>
      <c r="H34" s="71">
        <v>9.701538573542507</v>
      </c>
      <c r="I34" s="70">
        <v>20.733299634165739</v>
      </c>
      <c r="J34" s="70">
        <v>38.050755955419092</v>
      </c>
      <c r="K34" s="70">
        <v>57.387405253831211</v>
      </c>
      <c r="L34" s="8">
        <v>92.050089621224004</v>
      </c>
      <c r="M34" s="4">
        <v>2055</v>
      </c>
      <c r="N34" s="75">
        <f t="shared" si="3"/>
        <v>1.2622737271745617</v>
      </c>
      <c r="O34" s="75">
        <f t="shared" si="9"/>
        <v>1.0830989720700035</v>
      </c>
      <c r="P34" s="75">
        <f t="shared" si="10"/>
        <v>0.89719929906702112</v>
      </c>
      <c r="Q34" s="75">
        <f t="shared" si="11"/>
        <v>0.72756215489274467</v>
      </c>
      <c r="R34" s="76">
        <f t="shared" si="12"/>
        <v>0.55448923126935767</v>
      </c>
      <c r="S34" s="22">
        <f t="shared" si="1"/>
        <v>0.91368982205697391</v>
      </c>
      <c r="T34" s="4">
        <f t="shared" si="2"/>
        <v>5693.7854031402449</v>
      </c>
      <c r="U34" s="1">
        <f t="shared" si="4"/>
        <v>7618.1908751916535</v>
      </c>
      <c r="V34" s="1">
        <f t="shared" si="6"/>
        <v>9548.8688855117507</v>
      </c>
      <c r="W34" s="1">
        <f t="shared" si="7"/>
        <v>9586.2214759090166</v>
      </c>
      <c r="X34" s="3">
        <f t="shared" si="8"/>
        <v>5762.9240387886066</v>
      </c>
      <c r="Y34" s="4">
        <v>2055</v>
      </c>
      <c r="Z34" s="3">
        <f t="shared" si="5"/>
        <v>38209.990678541275</v>
      </c>
    </row>
    <row r="35" spans="2:26" x14ac:dyDescent="0.2">
      <c r="B35" s="4">
        <v>2056</v>
      </c>
      <c r="C35" s="7">
        <v>23.643929947721951</v>
      </c>
      <c r="D35" s="7">
        <v>32.704767302294478</v>
      </c>
      <c r="E35" s="7">
        <v>48.081815573111257</v>
      </c>
      <c r="F35" s="7">
        <v>65.484112959452105</v>
      </c>
      <c r="G35" s="8">
        <v>98.210137488901054</v>
      </c>
      <c r="H35" s="71">
        <v>9.7015380118844039</v>
      </c>
      <c r="I35" s="70">
        <v>20.73329906795318</v>
      </c>
      <c r="J35" s="70">
        <v>38.050755396054683</v>
      </c>
      <c r="K35" s="70">
        <v>57.387404692111723</v>
      </c>
      <c r="L35" s="8">
        <v>92.050089060517635</v>
      </c>
      <c r="M35" s="4">
        <v>2056</v>
      </c>
      <c r="N35" s="75">
        <f t="shared" si="3"/>
        <v>1.2607717255295199</v>
      </c>
      <c r="O35" s="75">
        <f t="shared" si="9"/>
        <v>1.0794470083586383</v>
      </c>
      <c r="P35" s="75">
        <f t="shared" si="10"/>
        <v>0.90338557350965942</v>
      </c>
      <c r="Q35" s="75">
        <f t="shared" si="11"/>
        <v>0.72637098233619213</v>
      </c>
      <c r="R35" s="76">
        <f t="shared" si="12"/>
        <v>0.55054019520878228</v>
      </c>
      <c r="S35" s="22">
        <f t="shared" si="1"/>
        <v>0.91376272826978688</v>
      </c>
      <c r="T35" s="4">
        <f t="shared" si="2"/>
        <v>5694.2397283612245</v>
      </c>
      <c r="U35" s="1">
        <f t="shared" si="4"/>
        <v>7591.7138708536622</v>
      </c>
      <c r="V35" s="1">
        <f t="shared" si="6"/>
        <v>9522.7385939895648</v>
      </c>
      <c r="W35" s="1">
        <f t="shared" si="7"/>
        <v>9548.8688855117507</v>
      </c>
      <c r="X35" s="3">
        <f t="shared" si="8"/>
        <v>5751.7328855454089</v>
      </c>
      <c r="Y35" s="4">
        <v>2056</v>
      </c>
      <c r="Z35" s="3">
        <f t="shared" si="5"/>
        <v>38109.293964261611</v>
      </c>
    </row>
    <row r="36" spans="2:26" x14ac:dyDescent="0.2">
      <c r="B36" s="4">
        <v>2057</v>
      </c>
      <c r="C36" s="7">
        <v>23.986517636251911</v>
      </c>
      <c r="D36" s="7">
        <v>32.998387015872659</v>
      </c>
      <c r="E36" s="7">
        <v>48.327388723175787</v>
      </c>
      <c r="F36" s="7">
        <v>65.681900069574567</v>
      </c>
      <c r="G36" s="8">
        <v>98.36032783963779</v>
      </c>
      <c r="H36" s="71">
        <v>9.7015374604231592</v>
      </c>
      <c r="I36" s="70">
        <v>20.733298512020159</v>
      </c>
      <c r="J36" s="70">
        <v>38.050754846845507</v>
      </c>
      <c r="K36" s="70">
        <v>57.387404140590228</v>
      </c>
      <c r="L36" s="8">
        <v>92.050088509990871</v>
      </c>
      <c r="M36" s="4">
        <v>2057</v>
      </c>
      <c r="N36" s="75">
        <f t="shared" si="3"/>
        <v>1.2561568799677509</v>
      </c>
      <c r="O36" s="75">
        <f t="shared" si="9"/>
        <v>1.0766076548744057</v>
      </c>
      <c r="P36" s="75">
        <f t="shared" si="10"/>
        <v>0.90043689733692156</v>
      </c>
      <c r="Q36" s="75">
        <f t="shared" si="11"/>
        <v>0.72522142602784356</v>
      </c>
      <c r="R36" s="76">
        <f t="shared" si="12"/>
        <v>0.55069997129949877</v>
      </c>
      <c r="S36" s="22">
        <f t="shared" si="1"/>
        <v>0.91143096046950745</v>
      </c>
      <c r="T36" s="4">
        <f t="shared" si="2"/>
        <v>5679.7089924985285</v>
      </c>
      <c r="U36" s="1">
        <f t="shared" si="4"/>
        <v>7592.3196378149678</v>
      </c>
      <c r="V36" s="1">
        <f t="shared" si="6"/>
        <v>9489.6423385670769</v>
      </c>
      <c r="W36" s="1">
        <f t="shared" si="7"/>
        <v>9522.7385939895648</v>
      </c>
      <c r="X36" s="3">
        <f t="shared" si="8"/>
        <v>5729.3213313070491</v>
      </c>
      <c r="Y36" s="4">
        <v>2057</v>
      </c>
      <c r="Z36" s="3">
        <f t="shared" si="5"/>
        <v>38013.730894177184</v>
      </c>
    </row>
    <row r="37" spans="2:26" x14ac:dyDescent="0.2">
      <c r="B37" s="4">
        <v>2058</v>
      </c>
      <c r="C37" s="7">
        <v>24.32811147985338</v>
      </c>
      <c r="D37" s="7">
        <v>33.292166033757297</v>
      </c>
      <c r="E37" s="7">
        <v>48.57244287757176</v>
      </c>
      <c r="F37" s="7">
        <v>65.87853035422323</v>
      </c>
      <c r="G37" s="8">
        <v>98.509562759029222</v>
      </c>
      <c r="H37" s="71">
        <v>9.70153691897365</v>
      </c>
      <c r="I37" s="70">
        <v>20.733297966180071</v>
      </c>
      <c r="J37" s="70">
        <v>38.050754307607171</v>
      </c>
      <c r="K37" s="70">
        <v>57.387403599081573</v>
      </c>
      <c r="L37" s="8">
        <v>92.050087969458872</v>
      </c>
      <c r="M37" s="4">
        <v>2058</v>
      </c>
      <c r="N37" s="75">
        <f t="shared" si="3"/>
        <v>1.2525127451869207</v>
      </c>
      <c r="O37" s="75">
        <f t="shared" si="9"/>
        <v>1.0771917336573296</v>
      </c>
      <c r="P37" s="75">
        <f t="shared" si="10"/>
        <v>0.89853387665913209</v>
      </c>
      <c r="Q37" s="75">
        <f t="shared" si="11"/>
        <v>0.72097969591016431</v>
      </c>
      <c r="R37" s="76">
        <f t="shared" si="12"/>
        <v>0.54719668638591656</v>
      </c>
      <c r="S37" s="22">
        <f t="shared" si="1"/>
        <v>0.91004082091767891</v>
      </c>
      <c r="T37" s="4">
        <f t="shared" si="2"/>
        <v>5671.0461442348696</v>
      </c>
      <c r="U37" s="1">
        <f t="shared" si="4"/>
        <v>7572.9453233313734</v>
      </c>
      <c r="V37" s="1">
        <f t="shared" si="6"/>
        <v>9490.3995472687093</v>
      </c>
      <c r="W37" s="1">
        <f t="shared" si="7"/>
        <v>9489.6423385670769</v>
      </c>
      <c r="X37" s="3">
        <f t="shared" si="8"/>
        <v>5713.6431563937385</v>
      </c>
      <c r="Y37" s="4">
        <v>2058</v>
      </c>
      <c r="Z37" s="3">
        <f t="shared" si="5"/>
        <v>37937.676509795769</v>
      </c>
    </row>
    <row r="38" spans="2:26" x14ac:dyDescent="0.2">
      <c r="B38" s="4">
        <v>2059</v>
      </c>
      <c r="C38" s="7">
        <v>24.66967723968591</v>
      </c>
      <c r="D38" s="7">
        <v>33.585053205346107</v>
      </c>
      <c r="E38" s="7">
        <v>48.817019717619281</v>
      </c>
      <c r="F38" s="7">
        <v>66.075978157283686</v>
      </c>
      <c r="G38" s="8">
        <v>98.65893344262534</v>
      </c>
      <c r="H38" s="71">
        <v>9.7015363873541141</v>
      </c>
      <c r="I38" s="70">
        <v>20.73329743024966</v>
      </c>
      <c r="J38" s="70">
        <v>38.050753778158672</v>
      </c>
      <c r="K38" s="70">
        <v>57.387403067403973</v>
      </c>
      <c r="L38" s="8">
        <v>92.050087438740178</v>
      </c>
      <c r="M38" s="4">
        <v>2059</v>
      </c>
      <c r="N38" s="75">
        <f t="shared" si="3"/>
        <v>1.2524097353242432</v>
      </c>
      <c r="O38" s="75">
        <f t="shared" si="9"/>
        <v>1.0739215942371416</v>
      </c>
      <c r="P38" s="75">
        <f t="shared" si="10"/>
        <v>0.89678368815207676</v>
      </c>
      <c r="Q38" s="75">
        <f t="shared" si="11"/>
        <v>0.7239772273728704</v>
      </c>
      <c r="R38" s="76">
        <f t="shared" si="12"/>
        <v>0.54769445248764248</v>
      </c>
      <c r="S38" s="22">
        <f t="shared" si="1"/>
        <v>0.90853122306404122</v>
      </c>
      <c r="T38" s="4">
        <f t="shared" si="2"/>
        <v>5661.6388749229454</v>
      </c>
      <c r="U38" s="1">
        <f t="shared" si="4"/>
        <v>7561.3948589798283</v>
      </c>
      <c r="V38" s="1">
        <f t="shared" si="6"/>
        <v>9466.1816541642165</v>
      </c>
      <c r="W38" s="1">
        <f t="shared" si="7"/>
        <v>9490.3995472687093</v>
      </c>
      <c r="X38" s="3">
        <f t="shared" si="8"/>
        <v>5693.7854031402449</v>
      </c>
      <c r="Y38" s="4">
        <v>2059</v>
      </c>
      <c r="Z38" s="3">
        <f t="shared" si="5"/>
        <v>37873.400338475942</v>
      </c>
    </row>
    <row r="39" spans="2:26" x14ac:dyDescent="0.2">
      <c r="B39" s="4">
        <v>2060</v>
      </c>
      <c r="C39" s="7">
        <v>25.011040973566171</v>
      </c>
      <c r="D39" s="7">
        <v>33.877248713234223</v>
      </c>
      <c r="E39" s="7">
        <v>49.061151461072292</v>
      </c>
      <c r="F39" s="7">
        <v>66.272132633455811</v>
      </c>
      <c r="G39" s="8">
        <v>98.808272444498868</v>
      </c>
      <c r="H39" s="71">
        <v>9.7015358653860879</v>
      </c>
      <c r="I39" s="70">
        <v>20.73329690404903</v>
      </c>
      <c r="J39" s="70">
        <v>38.050753258322267</v>
      </c>
      <c r="K39" s="70">
        <v>57.387402545378912</v>
      </c>
      <c r="L39" s="8">
        <v>92.050086917656643</v>
      </c>
      <c r="M39" s="4">
        <v>2060</v>
      </c>
      <c r="N39" s="75">
        <f t="shared" si="3"/>
        <v>1.2516689381103856</v>
      </c>
      <c r="O39" s="75">
        <f t="shared" si="9"/>
        <v>1.0713854583254043</v>
      </c>
      <c r="P39" s="75">
        <f t="shared" si="10"/>
        <v>0.89515163206119064</v>
      </c>
      <c r="Q39" s="75">
        <f t="shared" si="11"/>
        <v>0.71923499338968588</v>
      </c>
      <c r="R39" s="76">
        <f t="shared" si="12"/>
        <v>0.54757825084256717</v>
      </c>
      <c r="S39" s="22">
        <f t="shared" si="1"/>
        <v>0.90635283563911906</v>
      </c>
      <c r="T39" s="4">
        <f t="shared" si="2"/>
        <v>5648.0639502351751</v>
      </c>
      <c r="U39" s="1">
        <f t="shared" si="4"/>
        <v>7548.8518332305957</v>
      </c>
      <c r="V39" s="1">
        <f t="shared" si="6"/>
        <v>9451.7435737247833</v>
      </c>
      <c r="W39" s="1">
        <f t="shared" si="7"/>
        <v>9466.1816541642165</v>
      </c>
      <c r="X39" s="3">
        <f t="shared" si="8"/>
        <v>5694.2397283612245</v>
      </c>
      <c r="Y39" s="4">
        <v>2060</v>
      </c>
      <c r="Z39" s="3">
        <f t="shared" si="5"/>
        <v>37809.080739715995</v>
      </c>
    </row>
    <row r="40" spans="2:26" x14ac:dyDescent="0.2">
      <c r="B40" s="4">
        <v>2061</v>
      </c>
      <c r="C40" s="7">
        <v>25.351308429529009</v>
      </c>
      <c r="D40" s="7">
        <v>34.168817088754267</v>
      </c>
      <c r="E40" s="7">
        <v>49.304863429580571</v>
      </c>
      <c r="F40" s="7">
        <v>66.468238591190499</v>
      </c>
      <c r="G40" s="8">
        <v>98.957542414023081</v>
      </c>
      <c r="H40" s="71">
        <v>9.7015353528943482</v>
      </c>
      <c r="I40" s="70">
        <v>20.733296387401531</v>
      </c>
      <c r="J40" s="70">
        <v>38.050752747923447</v>
      </c>
      <c r="K40" s="70">
        <v>57.387402032831197</v>
      </c>
      <c r="L40" s="8">
        <v>92.05008640603333</v>
      </c>
      <c r="M40" s="4">
        <v>2061</v>
      </c>
      <c r="N40" s="75">
        <f t="shared" si="3"/>
        <v>1.247649217666785</v>
      </c>
      <c r="O40" s="75">
        <f t="shared" si="9"/>
        <v>1.0690859379476585</v>
      </c>
      <c r="P40" s="75">
        <f t="shared" si="10"/>
        <v>0.89361242265936391</v>
      </c>
      <c r="Q40" s="75">
        <f t="shared" si="11"/>
        <v>0.7190570577021399</v>
      </c>
      <c r="R40" s="76">
        <f t="shared" si="12"/>
        <v>0.54732509754092484</v>
      </c>
      <c r="S40" s="22">
        <f t="shared" si="1"/>
        <v>0.90480377727774142</v>
      </c>
      <c r="T40" s="4">
        <f t="shared" si="2"/>
        <v>5638.4107772724201</v>
      </c>
      <c r="U40" s="1">
        <f t="shared" si="4"/>
        <v>7530.7519336469013</v>
      </c>
      <c r="V40" s="1">
        <f t="shared" si="6"/>
        <v>9436.0647915382433</v>
      </c>
      <c r="W40" s="1">
        <f t="shared" si="7"/>
        <v>9451.7435737247833</v>
      </c>
      <c r="X40" s="3">
        <f t="shared" si="8"/>
        <v>5679.7089924985285</v>
      </c>
      <c r="Y40" s="4">
        <v>2061</v>
      </c>
      <c r="Z40" s="3">
        <f t="shared" si="5"/>
        <v>37736.680068680878</v>
      </c>
    </row>
    <row r="41" spans="2:26" x14ac:dyDescent="0.2">
      <c r="B41" s="4">
        <v>2062</v>
      </c>
      <c r="C41" s="7">
        <v>25.69071070345262</v>
      </c>
      <c r="D41" s="7">
        <v>34.459807847456247</v>
      </c>
      <c r="E41" s="7">
        <v>49.548175875028178</v>
      </c>
      <c r="F41" s="7">
        <v>66.66415695490241</v>
      </c>
      <c r="G41" s="8">
        <v>99.105863675582725</v>
      </c>
      <c r="H41" s="71">
        <v>9.7015348497068583</v>
      </c>
      <c r="I41" s="70">
        <v>20.733295880133721</v>
      </c>
      <c r="J41" s="70">
        <v>38.050752246790857</v>
      </c>
      <c r="K41" s="70">
        <v>57.387401529588743</v>
      </c>
      <c r="L41" s="8">
        <v>92.050085903698545</v>
      </c>
      <c r="M41" s="4">
        <v>2062</v>
      </c>
      <c r="N41" s="75">
        <f t="shared" si="3"/>
        <v>1.2444768494073688</v>
      </c>
      <c r="O41" s="75">
        <f t="shared" si="9"/>
        <v>1.066967975222564</v>
      </c>
      <c r="P41" s="75">
        <f t="shared" si="10"/>
        <v>0.89214747079405521</v>
      </c>
      <c r="Q41" s="75">
        <f t="shared" si="11"/>
        <v>0.71836917883267171</v>
      </c>
      <c r="R41" s="76">
        <f t="shared" si="12"/>
        <v>0.54384646761290867</v>
      </c>
      <c r="S41" s="22">
        <f t="shared" si="1"/>
        <v>0.90291394356089938</v>
      </c>
      <c r="T41" s="4">
        <f t="shared" si="2"/>
        <v>5626.634015212082</v>
      </c>
      <c r="U41" s="1">
        <f t="shared" si="4"/>
        <v>7517.8810363632283</v>
      </c>
      <c r="V41" s="1">
        <f t="shared" si="6"/>
        <v>9413.4399170586257</v>
      </c>
      <c r="W41" s="1">
        <f t="shared" si="7"/>
        <v>9436.0647915382433</v>
      </c>
      <c r="X41" s="3">
        <f t="shared" si="8"/>
        <v>5671.0461442348696</v>
      </c>
      <c r="Y41" s="4">
        <v>2062</v>
      </c>
      <c r="Z41" s="3">
        <f t="shared" si="5"/>
        <v>37665.065904407049</v>
      </c>
    </row>
    <row r="42" spans="2:26" x14ac:dyDescent="0.2">
      <c r="B42" s="4">
        <v>2063</v>
      </c>
      <c r="C42" s="7">
        <v>26.029335360260671</v>
      </c>
      <c r="D42" s="7">
        <v>34.750259506185706</v>
      </c>
      <c r="E42" s="7">
        <v>49.79110529800186</v>
      </c>
      <c r="F42" s="7">
        <v>66.85901832003438</v>
      </c>
      <c r="G42" s="8">
        <v>99.25347700096404</v>
      </c>
      <c r="H42" s="71">
        <v>9.7015343556546956</v>
      </c>
      <c r="I42" s="70">
        <v>20.733295382075319</v>
      </c>
      <c r="J42" s="70">
        <v>38.050751754756313</v>
      </c>
      <c r="K42" s="70">
        <v>57.387401035482611</v>
      </c>
      <c r="L42" s="8">
        <v>92.050085410483561</v>
      </c>
      <c r="M42" s="4">
        <v>2063</v>
      </c>
      <c r="N42" s="75">
        <f t="shared" si="3"/>
        <v>1.2416255531541101</v>
      </c>
      <c r="O42" s="75">
        <f t="shared" si="9"/>
        <v>1.0649912415554905</v>
      </c>
      <c r="P42" s="75">
        <f t="shared" si="10"/>
        <v>0.89074302169682795</v>
      </c>
      <c r="Q42" s="75">
        <f t="shared" si="11"/>
        <v>0.71449348387304212</v>
      </c>
      <c r="R42" s="76">
        <f t="shared" si="12"/>
        <v>0.54125066818642631</v>
      </c>
      <c r="S42" s="22">
        <f t="shared" si="1"/>
        <v>0.90082897886810887</v>
      </c>
      <c r="T42" s="4">
        <f t="shared" si="2"/>
        <v>5613.6412672933766</v>
      </c>
      <c r="U42" s="1">
        <f t="shared" si="4"/>
        <v>7502.1786869494445</v>
      </c>
      <c r="V42" s="1">
        <f t="shared" si="6"/>
        <v>9397.3512954540347</v>
      </c>
      <c r="W42" s="1">
        <f t="shared" si="7"/>
        <v>9413.4399170586257</v>
      </c>
      <c r="X42" s="3">
        <f t="shared" si="8"/>
        <v>5661.6388749229454</v>
      </c>
      <c r="Y42" s="4">
        <v>2063</v>
      </c>
      <c r="Z42" s="3">
        <f t="shared" si="5"/>
        <v>37588.250041678424</v>
      </c>
    </row>
    <row r="43" spans="2:26" x14ac:dyDescent="0.2">
      <c r="B43" s="4">
        <v>2064</v>
      </c>
      <c r="C43" s="7">
        <v>26.368102364279061</v>
      </c>
      <c r="D43" s="7">
        <v>35.040202473499399</v>
      </c>
      <c r="E43" s="7">
        <v>50.032812286336998</v>
      </c>
      <c r="F43" s="7">
        <v>67.053924593882556</v>
      </c>
      <c r="G43" s="8">
        <v>99.401329287226105</v>
      </c>
      <c r="H43" s="71">
        <v>9.7015338705720122</v>
      </c>
      <c r="I43" s="70">
        <v>20.733294893059131</v>
      </c>
      <c r="J43" s="70">
        <v>38.050751271654597</v>
      </c>
      <c r="K43" s="70">
        <v>57.387400550346953</v>
      </c>
      <c r="L43" s="8">
        <v>92.05008492622288</v>
      </c>
      <c r="M43" s="4">
        <v>2064</v>
      </c>
      <c r="N43" s="75">
        <f t="shared" si="3"/>
        <v>1.2421474600372686</v>
      </c>
      <c r="O43" s="75">
        <f t="shared" si="9"/>
        <v>1.0631260065428922</v>
      </c>
      <c r="P43" s="75">
        <f t="shared" si="10"/>
        <v>0.88626072860179761</v>
      </c>
      <c r="Q43" s="75">
        <f t="shared" si="11"/>
        <v>0.71465811627405651</v>
      </c>
      <c r="R43" s="76">
        <f t="shared" si="12"/>
        <v>0.54212682525007005</v>
      </c>
      <c r="S43" s="22">
        <f t="shared" si="1"/>
        <v>0.8986379801779133</v>
      </c>
      <c r="T43" s="4">
        <f t="shared" si="2"/>
        <v>5599.9877537493057</v>
      </c>
      <c r="U43" s="1">
        <f t="shared" si="4"/>
        <v>7484.8550230578367</v>
      </c>
      <c r="V43" s="1">
        <f t="shared" si="6"/>
        <v>9377.7233586868042</v>
      </c>
      <c r="W43" s="1">
        <f t="shared" si="7"/>
        <v>9397.3512954540347</v>
      </c>
      <c r="X43" s="3">
        <f t="shared" si="8"/>
        <v>5648.0639502351751</v>
      </c>
      <c r="Y43" s="4">
        <v>2064</v>
      </c>
      <c r="Z43" s="3">
        <f t="shared" si="5"/>
        <v>37507.981381183155</v>
      </c>
    </row>
    <row r="44" spans="2:26" ht="16" thickBot="1" x14ac:dyDescent="0.25">
      <c r="B44" s="5">
        <v>2065</v>
      </c>
      <c r="C44" s="9">
        <v>26.705950736609161</v>
      </c>
      <c r="D44" s="9">
        <v>35.329661149538254</v>
      </c>
      <c r="E44" s="9">
        <v>50.274421117178839</v>
      </c>
      <c r="F44" s="9">
        <v>67.248716330693128</v>
      </c>
      <c r="G44" s="10">
        <v>99.549231577018375</v>
      </c>
      <c r="H44" s="72">
        <v>9.7015333942959678</v>
      </c>
      <c r="I44" s="9">
        <v>20.733294412920991</v>
      </c>
      <c r="J44" s="9">
        <v>38.05075079732358</v>
      </c>
      <c r="K44" s="9">
        <v>57.387400074018878</v>
      </c>
      <c r="L44" s="10">
        <v>92.0500844507539</v>
      </c>
      <c r="M44" s="5">
        <v>2065</v>
      </c>
      <c r="N44" s="12">
        <f t="shared" si="3"/>
        <v>1.2387791115558702</v>
      </c>
      <c r="O44" s="12">
        <f t="shared" si="9"/>
        <v>1.0613502393156509</v>
      </c>
      <c r="P44" s="12">
        <f t="shared" si="10"/>
        <v>0.88590078563381291</v>
      </c>
      <c r="Q44" s="12">
        <f t="shared" si="11"/>
        <v>0.71423811484170818</v>
      </c>
      <c r="R44" s="77">
        <f>((G44-L44)-(G43-L43))*44/12</f>
        <v>0.54231013929125049</v>
      </c>
      <c r="S44" s="23">
        <f t="shared" si="1"/>
        <v>0.89774139395206054</v>
      </c>
      <c r="T44" s="5">
        <f t="shared" si="2"/>
        <v>5594.4005517884425</v>
      </c>
      <c r="U44" s="24">
        <f t="shared" si="4"/>
        <v>7466.6503383324089</v>
      </c>
      <c r="V44" s="24">
        <f t="shared" si="6"/>
        <v>9356.0687788222949</v>
      </c>
      <c r="W44" s="24">
        <f t="shared" si="7"/>
        <v>9377.7233586868042</v>
      </c>
      <c r="X44" s="25">
        <f t="shared" si="8"/>
        <v>5638.4107772724201</v>
      </c>
      <c r="Y44" s="5">
        <v>2065</v>
      </c>
      <c r="Z44" s="25">
        <f t="shared" si="5"/>
        <v>37433.253804902371</v>
      </c>
    </row>
    <row r="45" spans="2:26" x14ac:dyDescent="0.2">
      <c r="K45" s="70"/>
    </row>
    <row r="46" spans="2:26" x14ac:dyDescent="0.2">
      <c r="Y46" s="27" t="s">
        <v>30</v>
      </c>
      <c r="Z46" s="28">
        <f>SUM(Z5:Z44)</f>
        <v>1808233.1732623426</v>
      </c>
    </row>
  </sheetData>
  <mergeCells count="4">
    <mergeCell ref="C2:G2"/>
    <mergeCell ref="N2:R2"/>
    <mergeCell ref="T2:X2"/>
    <mergeCell ref="H2:L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9D3170-9E33-7946-9AFC-37CFBF095ADA}">
  <dimension ref="A1:L46"/>
  <sheetViews>
    <sheetView zoomScale="94" workbookViewId="0">
      <selection activeCell="G23" sqref="G23"/>
    </sheetView>
  </sheetViews>
  <sheetFormatPr baseColWidth="10" defaultRowHeight="15" x14ac:dyDescent="0.2"/>
  <cols>
    <col min="1" max="1" width="10.83203125" style="1"/>
    <col min="2" max="2" width="11" style="1" bestFit="1" customWidth="1"/>
    <col min="3" max="4" width="31" style="1" customWidth="1"/>
    <col min="5" max="5" width="16.5" style="1" customWidth="1"/>
    <col min="6" max="11" width="11" style="1" bestFit="1" customWidth="1"/>
    <col min="12" max="12" width="11.1640625" style="1" bestFit="1" customWidth="1"/>
    <col min="13" max="16384" width="10.83203125" style="1"/>
  </cols>
  <sheetData>
    <row r="1" spans="1:12" ht="16" thickBot="1" x14ac:dyDescent="0.25">
      <c r="A1" s="33"/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</row>
    <row r="2" spans="1:12" x14ac:dyDescent="0.2">
      <c r="A2" s="33"/>
      <c r="B2" s="29" t="s">
        <v>0</v>
      </c>
      <c r="C2" s="30" t="s">
        <v>49</v>
      </c>
      <c r="D2" s="30" t="s">
        <v>50</v>
      </c>
      <c r="E2" s="59" t="s">
        <v>14</v>
      </c>
      <c r="F2" s="67" t="s">
        <v>17</v>
      </c>
      <c r="G2" s="68"/>
      <c r="H2" s="68"/>
      <c r="I2" s="68"/>
      <c r="J2" s="68"/>
      <c r="K2" s="42" t="s">
        <v>0</v>
      </c>
      <c r="L2" s="30" t="s">
        <v>29</v>
      </c>
    </row>
    <row r="3" spans="1:12" x14ac:dyDescent="0.2">
      <c r="A3" s="33"/>
      <c r="B3" s="35"/>
      <c r="C3" s="33"/>
      <c r="D3" s="33"/>
      <c r="E3" s="31" t="s">
        <v>18</v>
      </c>
      <c r="F3" s="32" t="s">
        <v>19</v>
      </c>
      <c r="G3" s="32" t="s">
        <v>20</v>
      </c>
      <c r="H3" s="32" t="s">
        <v>21</v>
      </c>
      <c r="I3" s="32" t="s">
        <v>22</v>
      </c>
      <c r="J3" s="32" t="s">
        <v>23</v>
      </c>
      <c r="K3" s="35"/>
      <c r="L3" s="34"/>
    </row>
    <row r="4" spans="1:12" x14ac:dyDescent="0.2">
      <c r="A4" s="33"/>
      <c r="B4" s="35">
        <v>1</v>
      </c>
      <c r="C4" s="36">
        <v>41.758655210000001</v>
      </c>
      <c r="D4" s="36">
        <v>33.506314939716049</v>
      </c>
      <c r="E4" s="31" t="s">
        <v>24</v>
      </c>
      <c r="F4" s="37">
        <f>Area_Phases!$C$12 * Area_Phases!$C4</f>
        <v>3519.2141999999999</v>
      </c>
      <c r="G4" s="37">
        <f>Area_Phases!$C$12 * Area_Phases!$C5</f>
        <v>4692.2856000000002</v>
      </c>
      <c r="H4" s="37">
        <f>Area_Phases!$C$12 * Area_Phases!$C6</f>
        <v>5865.357</v>
      </c>
      <c r="I4" s="37">
        <f>Area_Phases!$C$12 * Area_Phases!$C7</f>
        <v>5865.357</v>
      </c>
      <c r="J4" s="37">
        <f>Area_Phases!$C$12 * Area_Phases!$C8</f>
        <v>3519.2141999999999</v>
      </c>
      <c r="K4" s="35"/>
      <c r="L4" s="34"/>
    </row>
    <row r="5" spans="1:12" x14ac:dyDescent="0.2">
      <c r="A5" s="33"/>
      <c r="B5" s="35">
        <v>2026</v>
      </c>
      <c r="C5" s="36">
        <v>42.418834320000002</v>
      </c>
      <c r="D5" s="36">
        <v>33.73737699201147</v>
      </c>
      <c r="E5" s="60">
        <f>((C5-D5)-(C4-D4))*44/12</f>
        <v>1.5734292115834616</v>
      </c>
      <c r="F5" s="1">
        <f>$E5*F$4</f>
        <v>5537.2344240993225</v>
      </c>
      <c r="K5" s="35">
        <v>2026</v>
      </c>
      <c r="L5" s="3">
        <f>SUM(F5:J5)</f>
        <v>5537.2344240993225</v>
      </c>
    </row>
    <row r="6" spans="1:12" x14ac:dyDescent="0.2">
      <c r="A6" s="33"/>
      <c r="B6" s="35">
        <v>2027</v>
      </c>
      <c r="C6" s="36">
        <v>43.09760464</v>
      </c>
      <c r="D6" s="36">
        <v>34.039819633874266</v>
      </c>
      <c r="E6" s="60">
        <f t="shared" ref="E6:E44" si="0">((C6-D6)-(C5-D5))*44/12</f>
        <v>1.3798681531697383</v>
      </c>
      <c r="F6" s="1">
        <f t="shared" ref="F6:F44" si="1">$E6*F$4</f>
        <v>4856.0515987627177</v>
      </c>
      <c r="G6" s="1">
        <f>$E5*G$4</f>
        <v>7382.9792321324303</v>
      </c>
      <c r="K6" s="35">
        <v>2027</v>
      </c>
      <c r="L6" s="3">
        <f t="shared" ref="L6:L44" si="2">SUM(F6:J6)</f>
        <v>12239.030830895148</v>
      </c>
    </row>
    <row r="7" spans="1:12" x14ac:dyDescent="0.2">
      <c r="A7" s="33"/>
      <c r="B7" s="35">
        <v>2028</v>
      </c>
      <c r="C7" s="36">
        <v>43.67485928</v>
      </c>
      <c r="D7" s="36">
        <v>34.293387671220948</v>
      </c>
      <c r="E7" s="60">
        <f t="shared" si="0"/>
        <v>1.1868508763954988</v>
      </c>
      <c r="F7" s="1">
        <f>$E7*F$4</f>
        <v>4176.7824574934839</v>
      </c>
      <c r="G7" s="1">
        <f>$E6*G$4</f>
        <v>6474.7354650169573</v>
      </c>
      <c r="H7" s="1">
        <f>$E5*H$4</f>
        <v>9228.7240401655381</v>
      </c>
      <c r="K7" s="35">
        <v>2028</v>
      </c>
      <c r="L7" s="3">
        <f t="shared" si="2"/>
        <v>19880.24196267598</v>
      </c>
    </row>
    <row r="8" spans="1:12" x14ac:dyDescent="0.2">
      <c r="A8" s="33"/>
      <c r="B8" s="35">
        <v>2029</v>
      </c>
      <c r="C8" s="36">
        <v>44.178960689999997</v>
      </c>
      <c r="D8" s="36">
        <v>34.514764422157619</v>
      </c>
      <c r="E8" s="60">
        <f t="shared" si="0"/>
        <v>1.0366570832321973</v>
      </c>
      <c r="F8" s="1">
        <f t="shared" si="1"/>
        <v>3648.2183278413304</v>
      </c>
      <c r="G8" s="1">
        <f>$E7*G$4</f>
        <v>5569.0432766579788</v>
      </c>
      <c r="H8" s="1">
        <f>$E6*H$4</f>
        <v>8093.4193312711968</v>
      </c>
      <c r="I8" s="1">
        <f>$E5*I$4</f>
        <v>9228.7240401655381</v>
      </c>
      <c r="K8" s="35">
        <v>2029</v>
      </c>
      <c r="L8" s="3">
        <f t="shared" si="2"/>
        <v>26539.404975936042</v>
      </c>
    </row>
    <row r="9" spans="1:12" x14ac:dyDescent="0.2">
      <c r="A9" s="33"/>
      <c r="B9" s="35">
        <v>2030</v>
      </c>
      <c r="C9" s="36">
        <v>44.62686102</v>
      </c>
      <c r="D9" s="36">
        <v>34.711158147386229</v>
      </c>
      <c r="E9" s="60">
        <f t="shared" si="0"/>
        <v>0.92219088416177419</v>
      </c>
      <c r="F9" s="1">
        <f>$E9*F$4</f>
        <v>3245.3872546526709</v>
      </c>
      <c r="G9" s="1">
        <f t="shared" ref="G9:G44" si="3">$E8*G$4</f>
        <v>4864.2911037884414</v>
      </c>
      <c r="H9" s="1">
        <f>$E7*H$4</f>
        <v>6961.3040958224738</v>
      </c>
      <c r="I9" s="1">
        <f t="shared" ref="I9:I43" si="4">$E6*I$4</f>
        <v>8093.4193312711968</v>
      </c>
      <c r="J9" s="1">
        <f>$E5*J$4</f>
        <v>5537.2344240993225</v>
      </c>
      <c r="K9" s="35">
        <v>2030</v>
      </c>
      <c r="L9" s="3">
        <f t="shared" si="2"/>
        <v>28701.636209634107</v>
      </c>
    </row>
    <row r="10" spans="1:12" x14ac:dyDescent="0.2">
      <c r="A10" s="33"/>
      <c r="B10" s="35">
        <v>2031</v>
      </c>
      <c r="C10" s="36">
        <v>45.030674519999998</v>
      </c>
      <c r="D10" s="36">
        <v>34.887749637129453</v>
      </c>
      <c r="E10" s="60">
        <f t="shared" si="0"/>
        <v>0.83314737094150593</v>
      </c>
      <c r="F10" s="1">
        <f t="shared" si="1"/>
        <v>2932.024058510015</v>
      </c>
      <c r="G10" s="1">
        <f t="shared" si="3"/>
        <v>4327.1830062035615</v>
      </c>
      <c r="H10" s="1">
        <f t="shared" ref="H10:H44" si="5">$E8*H$4</f>
        <v>6080.3638797355507</v>
      </c>
      <c r="I10" s="1">
        <f t="shared" si="4"/>
        <v>6961.3040958224738</v>
      </c>
      <c r="J10" s="1">
        <f t="shared" ref="J10:J44" si="6">$E6*J$4</f>
        <v>4856.0515987627177</v>
      </c>
      <c r="K10" s="35">
        <v>2031</v>
      </c>
      <c r="L10" s="3">
        <f t="shared" si="2"/>
        <v>25156.926639034322</v>
      </c>
    </row>
    <row r="11" spans="1:12" x14ac:dyDescent="0.2">
      <c r="A11" s="33"/>
      <c r="B11" s="35">
        <v>2032</v>
      </c>
      <c r="C11" s="36">
        <v>45.399122910000003</v>
      </c>
      <c r="D11" s="36">
        <v>35.048257409103563</v>
      </c>
      <c r="E11" s="60">
        <f t="shared" si="0"/>
        <v>0.7624489327616123</v>
      </c>
      <c r="F11" s="1">
        <f t="shared" si="1"/>
        <v>2683.2211109495111</v>
      </c>
      <c r="G11" s="1">
        <f t="shared" si="3"/>
        <v>3909.3654113466869</v>
      </c>
      <c r="H11" s="1">
        <f t="shared" si="5"/>
        <v>5408.9787577544512</v>
      </c>
      <c r="I11" s="1">
        <f t="shared" si="4"/>
        <v>6080.3638797355507</v>
      </c>
      <c r="J11" s="1">
        <f t="shared" si="6"/>
        <v>4176.7824574934839</v>
      </c>
      <c r="K11" s="35">
        <v>2032</v>
      </c>
      <c r="L11" s="3">
        <f t="shared" si="2"/>
        <v>22258.711617279689</v>
      </c>
    </row>
    <row r="12" spans="1:12" x14ac:dyDescent="0.2">
      <c r="A12" s="33"/>
      <c r="B12" s="35">
        <v>2033</v>
      </c>
      <c r="C12" s="36">
        <v>45.740424910000002</v>
      </c>
      <c r="D12" s="36">
        <v>35.197328226179003</v>
      </c>
      <c r="E12" s="60">
        <f t="shared" si="0"/>
        <v>0.70484767072338173</v>
      </c>
      <c r="F12" s="1">
        <f t="shared" si="1"/>
        <v>2480.509931646649</v>
      </c>
      <c r="G12" s="1">
        <f t="shared" si="3"/>
        <v>3577.6281479326817</v>
      </c>
      <c r="H12" s="1">
        <f t="shared" si="5"/>
        <v>4886.7067641833582</v>
      </c>
      <c r="I12" s="1">
        <f t="shared" si="4"/>
        <v>5408.9787577544512</v>
      </c>
      <c r="J12" s="1">
        <f t="shared" si="6"/>
        <v>3648.2183278413304</v>
      </c>
      <c r="K12" s="35">
        <v>2033</v>
      </c>
      <c r="L12" s="3">
        <f t="shared" si="2"/>
        <v>20002.041929358471</v>
      </c>
    </row>
    <row r="13" spans="1:12" x14ac:dyDescent="0.2">
      <c r="A13" s="33"/>
      <c r="B13" s="35">
        <v>2034</v>
      </c>
      <c r="C13" s="36">
        <v>46.05938793</v>
      </c>
      <c r="D13" s="36">
        <v>35.336245898137577</v>
      </c>
      <c r="E13" s="60">
        <f t="shared" si="0"/>
        <v>0.66016627615189094</v>
      </c>
      <c r="F13" s="1">
        <f t="shared" si="1"/>
        <v>2323.2665333948557</v>
      </c>
      <c r="G13" s="1">
        <f t="shared" si="3"/>
        <v>3307.3465755288657</v>
      </c>
      <c r="H13" s="1">
        <f t="shared" si="5"/>
        <v>4472.0351849158524</v>
      </c>
      <c r="I13" s="1">
        <f t="shared" si="4"/>
        <v>4886.7067641833582</v>
      </c>
      <c r="J13" s="1">
        <f t="shared" si="6"/>
        <v>3245.3872546526709</v>
      </c>
      <c r="K13" s="35">
        <v>2034</v>
      </c>
      <c r="L13" s="3">
        <f t="shared" si="2"/>
        <v>18234.742312675604</v>
      </c>
    </row>
    <row r="14" spans="1:12" x14ac:dyDescent="0.2">
      <c r="A14" s="33"/>
      <c r="B14" s="35">
        <v>2035</v>
      </c>
      <c r="C14" s="36">
        <v>46.36245461</v>
      </c>
      <c r="D14" s="36">
        <v>35.467970713473747</v>
      </c>
      <c r="E14" s="60">
        <f t="shared" si="0"/>
        <v>0.62825350376737765</v>
      </c>
      <c r="F14" s="1">
        <f t="shared" si="1"/>
        <v>2210.9586516579088</v>
      </c>
      <c r="G14" s="1">
        <f t="shared" si="3"/>
        <v>3097.6887111931414</v>
      </c>
      <c r="H14" s="1">
        <f t="shared" si="5"/>
        <v>4134.1832194110821</v>
      </c>
      <c r="I14" s="1">
        <f t="shared" si="4"/>
        <v>4472.0351849158524</v>
      </c>
      <c r="J14" s="1">
        <f t="shared" si="6"/>
        <v>2932.024058510015</v>
      </c>
      <c r="K14" s="35">
        <v>2035</v>
      </c>
      <c r="L14" s="3">
        <f t="shared" si="2"/>
        <v>16846.889825688002</v>
      </c>
    </row>
    <row r="15" spans="1:12" x14ac:dyDescent="0.2">
      <c r="A15" s="33"/>
      <c r="B15" s="35">
        <v>2036</v>
      </c>
      <c r="C15" s="36">
        <v>46.651155490000001</v>
      </c>
      <c r="D15" s="36">
        <v>35.593553646283233</v>
      </c>
      <c r="E15" s="60">
        <f t="shared" si="0"/>
        <v>0.59809913969855211</v>
      </c>
      <c r="F15" s="1">
        <f t="shared" si="1"/>
        <v>2104.8389854349284</v>
      </c>
      <c r="G15" s="1">
        <f t="shared" si="3"/>
        <v>2947.9448688772122</v>
      </c>
      <c r="H15" s="1">
        <f t="shared" si="5"/>
        <v>3872.1108889914267</v>
      </c>
      <c r="I15" s="1">
        <f t="shared" si="4"/>
        <v>4134.1832194110821</v>
      </c>
      <c r="J15" s="1">
        <f t="shared" si="6"/>
        <v>2683.2211109495111</v>
      </c>
      <c r="K15" s="35">
        <v>2036</v>
      </c>
      <c r="L15" s="3">
        <f t="shared" si="2"/>
        <v>15742.299073664162</v>
      </c>
    </row>
    <row r="16" spans="1:12" x14ac:dyDescent="0.2">
      <c r="A16" s="33"/>
      <c r="B16" s="35">
        <v>2037</v>
      </c>
      <c r="C16" s="36">
        <v>46.930645069999997</v>
      </c>
      <c r="D16" s="36">
        <v>35.714772759688337</v>
      </c>
      <c r="E16" s="60">
        <f t="shared" si="0"/>
        <v>0.58032504418127218</v>
      </c>
      <c r="F16" s="1">
        <f t="shared" si="1"/>
        <v>2042.2881360983604</v>
      </c>
      <c r="G16" s="1">
        <f t="shared" si="3"/>
        <v>2806.4519805799046</v>
      </c>
      <c r="H16" s="1">
        <f t="shared" si="5"/>
        <v>3684.9310860965147</v>
      </c>
      <c r="I16" s="1">
        <f t="shared" si="4"/>
        <v>3872.1108889914267</v>
      </c>
      <c r="J16" s="1">
        <f t="shared" si="6"/>
        <v>2480.509931646649</v>
      </c>
      <c r="K16" s="35">
        <v>2037</v>
      </c>
      <c r="L16" s="3">
        <f t="shared" si="2"/>
        <v>14886.292023412856</v>
      </c>
    </row>
    <row r="17" spans="1:12" x14ac:dyDescent="0.2">
      <c r="A17" s="33"/>
      <c r="B17" s="35">
        <v>2038</v>
      </c>
      <c r="C17" s="36">
        <v>47.201507049999996</v>
      </c>
      <c r="D17" s="36">
        <v>35.831866889009802</v>
      </c>
      <c r="E17" s="60">
        <f t="shared" si="0"/>
        <v>0.56381545248795817</v>
      </c>
      <c r="F17" s="1">
        <f t="shared" si="1"/>
        <v>1984.1873465750477</v>
      </c>
      <c r="G17" s="1">
        <f t="shared" si="3"/>
        <v>2723.0508481311472</v>
      </c>
      <c r="H17" s="1">
        <f t="shared" si="5"/>
        <v>3508.0649757248807</v>
      </c>
      <c r="I17" s="1">
        <f t="shared" si="4"/>
        <v>3684.9310860965147</v>
      </c>
      <c r="J17" s="1">
        <f t="shared" si="6"/>
        <v>2323.2665333948557</v>
      </c>
      <c r="K17" s="35">
        <v>2038</v>
      </c>
      <c r="L17" s="3">
        <f t="shared" si="2"/>
        <v>14223.500789922446</v>
      </c>
    </row>
    <row r="18" spans="1:12" x14ac:dyDescent="0.2">
      <c r="A18" s="33"/>
      <c r="B18" s="35">
        <v>2039</v>
      </c>
      <c r="C18" s="36">
        <v>47.467246920000001</v>
      </c>
      <c r="D18" s="36">
        <v>35.946019624324123</v>
      </c>
      <c r="E18" s="60">
        <f t="shared" si="0"/>
        <v>0.55581949384750828</v>
      </c>
      <c r="F18" s="1">
        <f t="shared" si="1"/>
        <v>1956.0478553849637</v>
      </c>
      <c r="G18" s="1">
        <f t="shared" si="3"/>
        <v>2645.5831287667302</v>
      </c>
      <c r="H18" s="1">
        <f t="shared" si="5"/>
        <v>3403.8135601639342</v>
      </c>
      <c r="I18" s="1">
        <f t="shared" si="4"/>
        <v>3508.0649757248807</v>
      </c>
      <c r="J18" s="1">
        <f t="shared" si="6"/>
        <v>2210.9586516579088</v>
      </c>
      <c r="K18" s="35">
        <v>2039</v>
      </c>
      <c r="L18" s="3">
        <f>SUM(F18:J18)</f>
        <v>13724.468171698418</v>
      </c>
    </row>
    <row r="19" spans="1:12" x14ac:dyDescent="0.2">
      <c r="A19" s="33"/>
      <c r="B19" s="35">
        <v>2040</v>
      </c>
      <c r="C19" s="36">
        <v>47.727295400000003</v>
      </c>
      <c r="D19" s="36">
        <v>36.058042760623799</v>
      </c>
      <c r="E19" s="60">
        <f t="shared" si="0"/>
        <v>0.54275959356786052</v>
      </c>
      <c r="F19" s="1">
        <f t="shared" si="1"/>
        <v>1910.0872688702434</v>
      </c>
      <c r="G19" s="1">
        <f t="shared" si="3"/>
        <v>2608.0638071799517</v>
      </c>
      <c r="H19" s="1">
        <f t="shared" si="5"/>
        <v>3306.9789109584131</v>
      </c>
      <c r="I19" s="1">
        <f t="shared" si="4"/>
        <v>3403.8135601639342</v>
      </c>
      <c r="J19" s="1">
        <f t="shared" si="6"/>
        <v>2104.8389854349284</v>
      </c>
      <c r="K19" s="35">
        <v>2040</v>
      </c>
      <c r="L19" s="3">
        <f t="shared" si="2"/>
        <v>13333.782532607469</v>
      </c>
    </row>
    <row r="20" spans="1:12" x14ac:dyDescent="0.2">
      <c r="A20" s="33"/>
      <c r="B20" s="35">
        <v>2041</v>
      </c>
      <c r="C20" s="36">
        <v>47.983307230000001</v>
      </c>
      <c r="D20" s="36">
        <v>36.168530072553253</v>
      </c>
      <c r="E20" s="60">
        <f t="shared" si="0"/>
        <v>0.5335898995919971</v>
      </c>
      <c r="F20" s="1">
        <f t="shared" si="1"/>
        <v>1877.8171516207303</v>
      </c>
      <c r="G20" s="1">
        <f t="shared" si="3"/>
        <v>2546.7830251603245</v>
      </c>
      <c r="H20" s="1">
        <f t="shared" si="5"/>
        <v>3260.0797589749395</v>
      </c>
      <c r="I20" s="1">
        <f t="shared" si="4"/>
        <v>3306.9789109584131</v>
      </c>
      <c r="J20" s="1">
        <f t="shared" si="6"/>
        <v>2042.2881360983604</v>
      </c>
      <c r="K20" s="35">
        <v>2041</v>
      </c>
      <c r="L20" s="3">
        <f t="shared" si="2"/>
        <v>13033.946982812768</v>
      </c>
    </row>
    <row r="21" spans="1:12" x14ac:dyDescent="0.2">
      <c r="A21" s="33"/>
      <c r="B21" s="35">
        <v>2042</v>
      </c>
      <c r="C21" s="36">
        <v>48.236384610000002</v>
      </c>
      <c r="D21" s="36">
        <v>36.277915471853753</v>
      </c>
      <c r="E21" s="60">
        <f t="shared" si="0"/>
        <v>0.52687059589816931</v>
      </c>
      <c r="F21" s="1">
        <f t="shared" si="1"/>
        <v>1854.1704826472992</v>
      </c>
      <c r="G21" s="1">
        <f t="shared" si="3"/>
        <v>2503.7562021609738</v>
      </c>
      <c r="H21" s="1">
        <f t="shared" si="5"/>
        <v>3183.4787814504057</v>
      </c>
      <c r="I21" s="1">
        <f t="shared" si="4"/>
        <v>3260.0797589749395</v>
      </c>
      <c r="J21" s="1">
        <f t="shared" si="6"/>
        <v>1984.1873465750477</v>
      </c>
      <c r="K21" s="35">
        <v>2042</v>
      </c>
      <c r="L21" s="3">
        <f t="shared" si="2"/>
        <v>12785.672571808667</v>
      </c>
    </row>
    <row r="22" spans="1:12" x14ac:dyDescent="0.2">
      <c r="A22" s="33"/>
      <c r="B22" s="35">
        <v>2043</v>
      </c>
      <c r="C22" s="36">
        <v>48.48733395</v>
      </c>
      <c r="D22" s="36">
        <v>36.386515792722037</v>
      </c>
      <c r="E22" s="60">
        <f t="shared" si="0"/>
        <v>0.52194640348295229</v>
      </c>
      <c r="F22" s="1">
        <f t="shared" si="1"/>
        <v>1836.8411947761351</v>
      </c>
      <c r="G22" s="1">
        <f t="shared" si="3"/>
        <v>2472.2273101963992</v>
      </c>
      <c r="H22" s="1">
        <f t="shared" si="5"/>
        <v>3129.6952527012172</v>
      </c>
      <c r="I22" s="1">
        <f t="shared" si="4"/>
        <v>3183.4787814504057</v>
      </c>
      <c r="J22" s="1">
        <f t="shared" si="6"/>
        <v>1956.0478553849637</v>
      </c>
      <c r="K22" s="35">
        <v>2043</v>
      </c>
      <c r="L22" s="3">
        <f t="shared" si="2"/>
        <v>12578.290394509122</v>
      </c>
    </row>
    <row r="23" spans="1:12" x14ac:dyDescent="0.2">
      <c r="A23" s="33"/>
      <c r="B23" s="35">
        <v>2044</v>
      </c>
      <c r="C23" s="36">
        <v>48.736744809999998</v>
      </c>
      <c r="D23" s="36">
        <v>36.494562203139829</v>
      </c>
      <c r="E23" s="60">
        <f t="shared" si="0"/>
        <v>0.51833631513475353</v>
      </c>
      <c r="F23" s="1">
        <f t="shared" si="1"/>
        <v>1824.1365205978996</v>
      </c>
      <c r="G23" s="1">
        <f t="shared" si="3"/>
        <v>2449.1215930348471</v>
      </c>
      <c r="H23" s="1">
        <f t="shared" si="5"/>
        <v>3090.2841377454988</v>
      </c>
      <c r="I23" s="1">
        <f t="shared" si="4"/>
        <v>3129.6952527012172</v>
      </c>
      <c r="J23" s="1">
        <f t="shared" si="6"/>
        <v>1910.0872688702434</v>
      </c>
      <c r="K23" s="35">
        <v>2044</v>
      </c>
      <c r="L23" s="3">
        <f t="shared" si="2"/>
        <v>12403.324772949705</v>
      </c>
    </row>
    <row r="24" spans="1:12" x14ac:dyDescent="0.2">
      <c r="A24" s="33"/>
      <c r="B24" s="35">
        <v>2045</v>
      </c>
      <c r="C24" s="36">
        <v>48.984040479999997</v>
      </c>
      <c r="D24" s="36">
        <v>36.601215875725153</v>
      </c>
      <c r="E24" s="60">
        <f t="shared" si="0"/>
        <v>0.51568732385381111</v>
      </c>
      <c r="F24" s="1">
        <f t="shared" si="1"/>
        <v>1814.8141528663307</v>
      </c>
      <c r="G24" s="1">
        <f t="shared" si="3"/>
        <v>2432.1820274638662</v>
      </c>
      <c r="H24" s="1">
        <f t="shared" si="5"/>
        <v>3061.4019912935587</v>
      </c>
      <c r="I24" s="1">
        <f t="shared" si="4"/>
        <v>3090.2841377454988</v>
      </c>
      <c r="J24" s="1">
        <f t="shared" si="6"/>
        <v>1877.8171516207303</v>
      </c>
      <c r="K24" s="35">
        <v>2045</v>
      </c>
      <c r="L24" s="3">
        <f t="shared" si="2"/>
        <v>12276.499460989984</v>
      </c>
    </row>
    <row r="25" spans="1:12" x14ac:dyDescent="0.2">
      <c r="A25" s="33"/>
      <c r="B25" s="35">
        <v>2046</v>
      </c>
      <c r="C25" s="36">
        <v>49.229808329999997</v>
      </c>
      <c r="D25" s="36">
        <v>36.706872461395022</v>
      </c>
      <c r="E25" s="60">
        <f t="shared" si="0"/>
        <v>0.51374130254381123</v>
      </c>
      <c r="F25" s="1">
        <f t="shared" si="1"/>
        <v>1807.9656870386766</v>
      </c>
      <c r="G25" s="1">
        <f t="shared" si="3"/>
        <v>2419.7522038217744</v>
      </c>
      <c r="H25" s="1">
        <f t="shared" si="5"/>
        <v>3040.2275343298325</v>
      </c>
      <c r="I25" s="1">
        <f t="shared" si="4"/>
        <v>3061.4019912935587</v>
      </c>
      <c r="J25" s="1">
        <f t="shared" si="6"/>
        <v>1854.1704826472992</v>
      </c>
      <c r="K25" s="35">
        <v>2046</v>
      </c>
      <c r="L25" s="3">
        <f t="shared" si="2"/>
        <v>12183.517899131142</v>
      </c>
    </row>
    <row r="26" spans="1:12" x14ac:dyDescent="0.2">
      <c r="A26" s="33"/>
      <c r="B26" s="35">
        <v>2047</v>
      </c>
      <c r="C26" s="36">
        <v>49.475432179999999</v>
      </c>
      <c r="D26" s="36">
        <v>36.812775680061343</v>
      </c>
      <c r="E26" s="60">
        <f t="shared" si="0"/>
        <v>0.51230898155683013</v>
      </c>
      <c r="F26" s="1">
        <f t="shared" si="1"/>
        <v>1802.9250426823346</v>
      </c>
      <c r="G26" s="1">
        <f t="shared" si="3"/>
        <v>2410.6209160515687</v>
      </c>
      <c r="H26" s="1">
        <f t="shared" si="5"/>
        <v>3024.6902547772179</v>
      </c>
      <c r="I26" s="1">
        <f t="shared" si="4"/>
        <v>3040.2275343298325</v>
      </c>
      <c r="J26" s="1">
        <f t="shared" si="6"/>
        <v>1836.8411947761351</v>
      </c>
      <c r="K26" s="35">
        <v>2047</v>
      </c>
      <c r="L26" s="3">
        <f t="shared" si="2"/>
        <v>12115.304942617087</v>
      </c>
    </row>
    <row r="27" spans="1:12" x14ac:dyDescent="0.2">
      <c r="A27" s="33"/>
      <c r="B27" s="35">
        <v>2048</v>
      </c>
      <c r="C27" s="36">
        <v>49.718900869999999</v>
      </c>
      <c r="D27" s="36">
        <v>36.918826639498093</v>
      </c>
      <c r="E27" s="60">
        <f t="shared" si="0"/>
        <v>0.50386501206525003</v>
      </c>
      <c r="F27" s="1">
        <f t="shared" si="1"/>
        <v>1773.2089053431991</v>
      </c>
      <c r="G27" s="1">
        <f t="shared" si="3"/>
        <v>2403.9000569097798</v>
      </c>
      <c r="H27" s="1">
        <f t="shared" si="5"/>
        <v>3013.2761450644612</v>
      </c>
      <c r="I27" s="1">
        <f t="shared" si="4"/>
        <v>3024.6902547772179</v>
      </c>
      <c r="J27" s="1">
        <f t="shared" si="6"/>
        <v>1824.1365205978996</v>
      </c>
      <c r="K27" s="35">
        <v>2048</v>
      </c>
      <c r="L27" s="3">
        <f t="shared" si="2"/>
        <v>12039.211882692558</v>
      </c>
    </row>
    <row r="28" spans="1:12" x14ac:dyDescent="0.2">
      <c r="A28" s="33"/>
      <c r="B28" s="35">
        <v>2049</v>
      </c>
      <c r="C28" s="36">
        <v>49.962830779999997</v>
      </c>
      <c r="D28" s="36">
        <v>37.0229916317614</v>
      </c>
      <c r="E28" s="60">
        <f t="shared" si="0"/>
        <v>0.51247136503453561</v>
      </c>
      <c r="F28" s="1">
        <f t="shared" si="1"/>
        <v>1803.4965049229211</v>
      </c>
      <c r="G28" s="1">
        <f t="shared" si="3"/>
        <v>2364.2785404575989</v>
      </c>
      <c r="H28" s="1">
        <f t="shared" si="5"/>
        <v>3004.8750711372245</v>
      </c>
      <c r="I28" s="1">
        <f t="shared" si="4"/>
        <v>3013.2761450644612</v>
      </c>
      <c r="J28" s="1">
        <f t="shared" si="6"/>
        <v>1814.8141528663307</v>
      </c>
      <c r="K28" s="35">
        <v>2049</v>
      </c>
      <c r="L28" s="3">
        <f t="shared" si="2"/>
        <v>12000.740414448537</v>
      </c>
    </row>
    <row r="29" spans="1:12" x14ac:dyDescent="0.2">
      <c r="A29" s="33"/>
      <c r="B29" s="35">
        <v>2050</v>
      </c>
      <c r="C29" s="36">
        <v>50.204995390000001</v>
      </c>
      <c r="D29" s="36">
        <v>37.127816327397603</v>
      </c>
      <c r="E29" s="60">
        <f t="shared" si="0"/>
        <v>0.50357968600059877</v>
      </c>
      <c r="F29" s="1">
        <f t="shared" si="1"/>
        <v>1772.2047818048484</v>
      </c>
      <c r="G29" s="1">
        <f t="shared" si="3"/>
        <v>2404.6620065638949</v>
      </c>
      <c r="H29" s="1">
        <f t="shared" si="5"/>
        <v>2955.3481755719986</v>
      </c>
      <c r="I29" s="1">
        <f t="shared" si="4"/>
        <v>3004.8750711372245</v>
      </c>
      <c r="J29" s="1">
        <f t="shared" si="6"/>
        <v>1807.9656870386766</v>
      </c>
      <c r="K29" s="35">
        <v>2050</v>
      </c>
      <c r="L29" s="3">
        <f t="shared" si="2"/>
        <v>11945.055722116644</v>
      </c>
    </row>
    <row r="30" spans="1:12" x14ac:dyDescent="0.2">
      <c r="A30" s="33"/>
      <c r="B30" s="35">
        <v>2051</v>
      </c>
      <c r="C30" s="36">
        <v>50.44790785</v>
      </c>
      <c r="D30" s="36">
        <v>37.233037523323347</v>
      </c>
      <c r="E30" s="60">
        <f t="shared" si="0"/>
        <v>0.50486796827227209</v>
      </c>
      <c r="F30" s="1">
        <f t="shared" si="1"/>
        <v>1776.7385230689295</v>
      </c>
      <c r="G30" s="1">
        <f t="shared" si="3"/>
        <v>2362.9397090731313</v>
      </c>
      <c r="H30" s="1">
        <f t="shared" si="5"/>
        <v>3005.8275082048685</v>
      </c>
      <c r="I30" s="1">
        <f t="shared" si="4"/>
        <v>2955.3481755719986</v>
      </c>
      <c r="J30" s="1">
        <f t="shared" si="6"/>
        <v>1802.9250426823346</v>
      </c>
      <c r="K30" s="35">
        <v>2051</v>
      </c>
      <c r="L30" s="3">
        <f t="shared" si="2"/>
        <v>11903.778958601262</v>
      </c>
    </row>
    <row r="31" spans="1:12" x14ac:dyDescent="0.2">
      <c r="A31" s="33"/>
      <c r="B31" s="35">
        <v>2052</v>
      </c>
      <c r="C31" s="36">
        <v>50.689265880000001</v>
      </c>
      <c r="D31" s="36">
        <v>37.33756307720347</v>
      </c>
      <c r="E31" s="60">
        <f t="shared" si="0"/>
        <v>0.5017190791062186</v>
      </c>
      <c r="F31" s="1">
        <f t="shared" si="1"/>
        <v>1765.6569076015278</v>
      </c>
      <c r="G31" s="1">
        <f t="shared" si="3"/>
        <v>2368.9846974252391</v>
      </c>
      <c r="H31" s="1">
        <f t="shared" si="5"/>
        <v>2953.674636341414</v>
      </c>
      <c r="I31" s="1">
        <f t="shared" si="4"/>
        <v>3005.8275082048685</v>
      </c>
      <c r="J31" s="1">
        <f t="shared" si="6"/>
        <v>1773.2089053431991</v>
      </c>
      <c r="K31" s="35">
        <v>2052</v>
      </c>
      <c r="L31" s="3">
        <f t="shared" si="2"/>
        <v>11867.352654916249</v>
      </c>
    </row>
    <row r="32" spans="1:12" x14ac:dyDescent="0.2">
      <c r="A32" s="33"/>
      <c r="B32" s="35">
        <v>2053</v>
      </c>
      <c r="C32" s="36">
        <v>50.931527099999997</v>
      </c>
      <c r="D32" s="36">
        <v>37.441602715007988</v>
      </c>
      <c r="E32" s="60">
        <f t="shared" si="0"/>
        <v>0.50681246805008351</v>
      </c>
      <c r="F32" s="1">
        <f t="shared" si="1"/>
        <v>1783.5816342989001</v>
      </c>
      <c r="G32" s="1">
        <f t="shared" si="3"/>
        <v>2354.2092101353705</v>
      </c>
      <c r="H32" s="1">
        <f t="shared" si="5"/>
        <v>2961.230871781549</v>
      </c>
      <c r="I32" s="1">
        <f t="shared" si="4"/>
        <v>2953.674636341414</v>
      </c>
      <c r="J32" s="1">
        <f t="shared" si="6"/>
        <v>1803.4965049229211</v>
      </c>
      <c r="K32" s="35">
        <v>2053</v>
      </c>
      <c r="L32" s="3">
        <f t="shared" si="2"/>
        <v>11856.192857480153</v>
      </c>
    </row>
    <row r="33" spans="1:12" x14ac:dyDescent="0.2">
      <c r="A33" s="33"/>
      <c r="B33" s="35">
        <v>2054</v>
      </c>
      <c r="C33" s="36">
        <v>51.172348550000002</v>
      </c>
      <c r="D33" s="36">
        <v>37.546263881152917</v>
      </c>
      <c r="E33" s="60">
        <f t="shared" si="0"/>
        <v>0.4992543741352809</v>
      </c>
      <c r="F33" s="1">
        <f t="shared" si="1"/>
        <v>1756.9830828689933</v>
      </c>
      <c r="G33" s="1">
        <f t="shared" si="3"/>
        <v>2378.1088457318669</v>
      </c>
      <c r="H33" s="1">
        <f t="shared" si="5"/>
        <v>2942.7615126692131</v>
      </c>
      <c r="I33" s="1">
        <f t="shared" si="4"/>
        <v>2961.230871781549</v>
      </c>
      <c r="J33" s="1">
        <f t="shared" si="6"/>
        <v>1772.2047818048484</v>
      </c>
      <c r="K33" s="35">
        <v>2054</v>
      </c>
      <c r="L33" s="3">
        <f t="shared" si="2"/>
        <v>11811.289094856471</v>
      </c>
    </row>
    <row r="34" spans="1:12" x14ac:dyDescent="0.2">
      <c r="A34" s="33"/>
      <c r="B34" s="35">
        <v>2055</v>
      </c>
      <c r="C34" s="36">
        <v>51.413150690000002</v>
      </c>
      <c r="D34" s="36">
        <v>37.649333188025842</v>
      </c>
      <c r="E34" s="60">
        <f t="shared" si="0"/>
        <v>0.50502038813260697</v>
      </c>
      <c r="F34" s="1">
        <f t="shared" si="1"/>
        <v>1777.2749212057818</v>
      </c>
      <c r="G34" s="1">
        <f t="shared" si="3"/>
        <v>2342.6441104919909</v>
      </c>
      <c r="H34" s="1">
        <f t="shared" si="5"/>
        <v>2972.6360571648338</v>
      </c>
      <c r="I34" s="1">
        <f t="shared" si="4"/>
        <v>2942.7615126692131</v>
      </c>
      <c r="J34" s="1">
        <f t="shared" si="6"/>
        <v>1776.7385230689295</v>
      </c>
      <c r="K34" s="35">
        <v>2055</v>
      </c>
      <c r="L34" s="3">
        <f t="shared" si="2"/>
        <v>11812.055124600749</v>
      </c>
    </row>
    <row r="35" spans="1:12" x14ac:dyDescent="0.2">
      <c r="A35" s="33"/>
      <c r="B35" s="35">
        <v>2056</v>
      </c>
      <c r="C35" s="36">
        <v>51.653856390000001</v>
      </c>
      <c r="D35" s="36">
        <v>37.753279139084732</v>
      </c>
      <c r="E35" s="60">
        <f t="shared" si="0"/>
        <v>0.50145241278406871</v>
      </c>
      <c r="F35" s="1">
        <f t="shared" si="1"/>
        <v>1764.718451693956</v>
      </c>
      <c r="G35" s="1">
        <f t="shared" si="3"/>
        <v>2369.6998949410427</v>
      </c>
      <c r="H35" s="1">
        <f t="shared" si="5"/>
        <v>2928.3051381149889</v>
      </c>
      <c r="I35" s="1">
        <f t="shared" si="4"/>
        <v>2972.6360571648338</v>
      </c>
      <c r="J35" s="1">
        <f t="shared" si="6"/>
        <v>1765.6569076015278</v>
      </c>
      <c r="K35" s="35">
        <v>2056</v>
      </c>
      <c r="L35" s="3">
        <f t="shared" si="2"/>
        <v>11801.01644951635</v>
      </c>
    </row>
    <row r="36" spans="1:12" x14ac:dyDescent="0.2">
      <c r="A36" s="33"/>
      <c r="B36" s="35">
        <v>2057</v>
      </c>
      <c r="C36" s="36">
        <v>51.8944641</v>
      </c>
      <c r="D36" s="36">
        <v>37.857781802963409</v>
      </c>
      <c r="E36" s="60">
        <f t="shared" si="0"/>
        <v>0.49905183577818235</v>
      </c>
      <c r="F36" s="1">
        <f t="shared" si="1"/>
        <v>1756.2703070066473</v>
      </c>
      <c r="G36" s="1">
        <f t="shared" si="3"/>
        <v>2352.9579355919418</v>
      </c>
      <c r="H36" s="1">
        <f t="shared" si="5"/>
        <v>2962.1248686763033</v>
      </c>
      <c r="I36" s="1">
        <f t="shared" si="4"/>
        <v>2928.3051381149889</v>
      </c>
      <c r="J36" s="1">
        <f t="shared" si="6"/>
        <v>1783.5816342989001</v>
      </c>
      <c r="K36" s="35">
        <v>2057</v>
      </c>
      <c r="L36" s="3">
        <f t="shared" si="2"/>
        <v>11783.239883688781</v>
      </c>
    </row>
    <row r="37" spans="1:12" x14ac:dyDescent="0.2">
      <c r="A37" s="33"/>
      <c r="B37" s="35">
        <v>2058</v>
      </c>
      <c r="C37" s="36">
        <v>52.134972910000002</v>
      </c>
      <c r="D37" s="36">
        <v>37.960700045730391</v>
      </c>
      <c r="E37" s="60">
        <f t="shared" si="0"/>
        <v>0.50449874652107007</v>
      </c>
      <c r="F37" s="1">
        <f t="shared" si="1"/>
        <v>1775.4391526391503</v>
      </c>
      <c r="G37" s="1">
        <f t="shared" si="3"/>
        <v>2341.6937426755298</v>
      </c>
      <c r="H37" s="1">
        <f t="shared" si="5"/>
        <v>2941.1974194899267</v>
      </c>
      <c r="I37" s="1">
        <f t="shared" si="4"/>
        <v>2962.1248686763033</v>
      </c>
      <c r="J37" s="1">
        <f t="shared" si="6"/>
        <v>1756.9830828689933</v>
      </c>
      <c r="K37" s="35">
        <v>2058</v>
      </c>
      <c r="L37" s="3">
        <f t="shared" si="2"/>
        <v>11777.438266349904</v>
      </c>
    </row>
    <row r="38" spans="1:12" x14ac:dyDescent="0.2">
      <c r="A38" s="33"/>
      <c r="B38" s="35">
        <v>2059</v>
      </c>
      <c r="C38" s="36">
        <v>52.374375180000001</v>
      </c>
      <c r="D38" s="36">
        <v>38.064500680070601</v>
      </c>
      <c r="E38" s="60">
        <f t="shared" si="0"/>
        <v>0.49720599741922672</v>
      </c>
      <c r="F38" s="1">
        <f t="shared" si="1"/>
        <v>1749.774406442906</v>
      </c>
      <c r="G38" s="1">
        <f t="shared" si="3"/>
        <v>2367.2522035188672</v>
      </c>
      <c r="H38" s="1">
        <f t="shared" si="5"/>
        <v>2927.1171783444124</v>
      </c>
      <c r="I38" s="1">
        <f t="shared" si="4"/>
        <v>2941.1974194899267</v>
      </c>
      <c r="J38" s="1">
        <f t="shared" si="6"/>
        <v>1777.2749212057818</v>
      </c>
      <c r="K38" s="35">
        <v>2059</v>
      </c>
      <c r="L38" s="3">
        <f t="shared" si="2"/>
        <v>11762.616129001894</v>
      </c>
    </row>
    <row r="39" spans="1:12" x14ac:dyDescent="0.2">
      <c r="A39" s="33"/>
      <c r="B39" s="35">
        <v>2060</v>
      </c>
      <c r="C39" s="36">
        <v>52.613951380000003</v>
      </c>
      <c r="D39" s="36">
        <v>38.167855329316943</v>
      </c>
      <c r="E39" s="60">
        <f t="shared" si="0"/>
        <v>0.49947901943008804</v>
      </c>
      <c r="F39" s="1">
        <f t="shared" si="1"/>
        <v>1757.7736577804417</v>
      </c>
      <c r="G39" s="1">
        <f t="shared" si="3"/>
        <v>2333.0325419238748</v>
      </c>
      <c r="H39" s="1">
        <f t="shared" si="5"/>
        <v>2959.0652543985839</v>
      </c>
      <c r="I39" s="1">
        <f t="shared" si="4"/>
        <v>2927.1171783444124</v>
      </c>
      <c r="J39" s="1">
        <f t="shared" si="6"/>
        <v>1764.718451693956</v>
      </c>
      <c r="K39" s="35">
        <v>2060</v>
      </c>
      <c r="L39" s="3">
        <f t="shared" si="2"/>
        <v>11741.707084141268</v>
      </c>
    </row>
    <row r="40" spans="1:12" x14ac:dyDescent="0.2">
      <c r="A40" s="33"/>
      <c r="B40" s="35">
        <v>2061</v>
      </c>
      <c r="C40" s="36">
        <v>52.853576259999997</v>
      </c>
      <c r="D40" s="36">
        <v>38.2709097499135</v>
      </c>
      <c r="E40" s="60">
        <f t="shared" si="0"/>
        <v>0.50075835114593537</v>
      </c>
      <c r="F40" s="1">
        <f t="shared" si="1"/>
        <v>1762.2759001213619</v>
      </c>
      <c r="G40" s="1">
        <f t="shared" si="3"/>
        <v>2343.6982103739224</v>
      </c>
      <c r="H40" s="1">
        <f t="shared" si="5"/>
        <v>2916.2906774048433</v>
      </c>
      <c r="I40" s="1">
        <f t="shared" si="4"/>
        <v>2959.0652543985839</v>
      </c>
      <c r="J40" s="1">
        <f t="shared" si="6"/>
        <v>1756.2703070066473</v>
      </c>
      <c r="K40" s="35">
        <v>2061</v>
      </c>
      <c r="L40" s="3">
        <f t="shared" si="2"/>
        <v>11737.600349305359</v>
      </c>
    </row>
    <row r="41" spans="1:12" x14ac:dyDescent="0.2">
      <c r="A41" s="33"/>
      <c r="B41" s="35">
        <v>2062</v>
      </c>
      <c r="C41" s="36">
        <v>53.092205419999999</v>
      </c>
      <c r="D41" s="36">
        <v>38.374724160944012</v>
      </c>
      <c r="E41" s="60">
        <f t="shared" si="0"/>
        <v>0.4943207462214616</v>
      </c>
      <c r="F41" s="1">
        <f t="shared" si="1"/>
        <v>1739.620589457164</v>
      </c>
      <c r="G41" s="1">
        <f t="shared" si="3"/>
        <v>2349.7012001618159</v>
      </c>
      <c r="H41" s="1">
        <f t="shared" si="5"/>
        <v>2929.6227629674031</v>
      </c>
      <c r="I41" s="1">
        <f t="shared" si="4"/>
        <v>2916.2906774048433</v>
      </c>
      <c r="J41" s="1">
        <f t="shared" si="6"/>
        <v>1775.4391526391503</v>
      </c>
      <c r="K41" s="35">
        <v>2062</v>
      </c>
      <c r="L41" s="3">
        <f t="shared" si="2"/>
        <v>11710.674382630377</v>
      </c>
    </row>
    <row r="42" spans="1:12" x14ac:dyDescent="0.2">
      <c r="A42" s="33"/>
      <c r="B42" s="35">
        <v>2063</v>
      </c>
      <c r="C42" s="36">
        <v>53.332099460000002</v>
      </c>
      <c r="D42" s="36">
        <v>38.478057751206407</v>
      </c>
      <c r="E42" s="60">
        <f t="shared" si="0"/>
        <v>0.50072164903789707</v>
      </c>
      <c r="F42" s="1">
        <f t="shared" si="1"/>
        <v>1762.1467375415837</v>
      </c>
      <c r="G42" s="1">
        <f t="shared" si="3"/>
        <v>2319.494119276219</v>
      </c>
      <c r="H42" s="1">
        <f t="shared" si="5"/>
        <v>2937.1265002022701</v>
      </c>
      <c r="I42" s="1">
        <f t="shared" si="4"/>
        <v>2929.6227629674031</v>
      </c>
      <c r="J42" s="1">
        <f t="shared" si="6"/>
        <v>1749.774406442906</v>
      </c>
      <c r="K42" s="35">
        <v>2063</v>
      </c>
      <c r="L42" s="3">
        <f t="shared" si="2"/>
        <v>11698.164526430382</v>
      </c>
    </row>
    <row r="43" spans="1:12" x14ac:dyDescent="0.2">
      <c r="A43" s="33"/>
      <c r="B43" s="35">
        <v>2064</v>
      </c>
      <c r="C43" s="36">
        <v>53.570825429999999</v>
      </c>
      <c r="D43" s="36">
        <v>38.581065840118256</v>
      </c>
      <c r="E43" s="60">
        <f t="shared" si="0"/>
        <v>0.49763223065654216</v>
      </c>
      <c r="F43" s="1">
        <f t="shared" si="1"/>
        <v>1751.2744125041784</v>
      </c>
      <c r="G43" s="1">
        <f t="shared" si="3"/>
        <v>2349.5289833887782</v>
      </c>
      <c r="H43" s="1">
        <f t="shared" si="5"/>
        <v>2899.3676490952735</v>
      </c>
      <c r="I43" s="1">
        <f t="shared" si="4"/>
        <v>2937.1265002022701</v>
      </c>
      <c r="J43" s="1">
        <f t="shared" si="6"/>
        <v>1757.7736577804417</v>
      </c>
      <c r="K43" s="35">
        <v>2064</v>
      </c>
      <c r="L43" s="3">
        <f t="shared" si="2"/>
        <v>11695.071202970943</v>
      </c>
    </row>
    <row r="44" spans="1:12" ht="16" thickBot="1" x14ac:dyDescent="0.25">
      <c r="A44" s="33"/>
      <c r="B44" s="38">
        <v>2065</v>
      </c>
      <c r="C44" s="39">
        <v>53.808730230000002</v>
      </c>
      <c r="D44" s="39">
        <v>38.684815813021402</v>
      </c>
      <c r="E44" s="61">
        <f t="shared" si="0"/>
        <v>0.4919010326884769</v>
      </c>
      <c r="F44" s="24">
        <f t="shared" si="1"/>
        <v>1731.105099231952</v>
      </c>
      <c r="G44" s="24">
        <f t="shared" si="3"/>
        <v>2335.0325500055715</v>
      </c>
      <c r="H44" s="24">
        <f t="shared" si="5"/>
        <v>2936.9112292359728</v>
      </c>
      <c r="I44" s="24">
        <f>$E41*I$4</f>
        <v>2899.3676490952735</v>
      </c>
      <c r="J44" s="24">
        <f t="shared" si="6"/>
        <v>1762.2759001213619</v>
      </c>
      <c r="K44" s="38">
        <v>2065</v>
      </c>
      <c r="L44" s="25">
        <f t="shared" si="2"/>
        <v>11664.692427690132</v>
      </c>
    </row>
    <row r="45" spans="1:12" x14ac:dyDescent="0.2">
      <c r="A45" s="33"/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</row>
    <row r="46" spans="1:12" x14ac:dyDescent="0.2">
      <c r="A46" s="33"/>
      <c r="B46" s="33"/>
      <c r="C46" s="33"/>
      <c r="D46" s="33"/>
      <c r="E46" s="33"/>
      <c r="F46" s="33"/>
      <c r="G46" s="33"/>
      <c r="H46" s="33"/>
      <c r="I46" s="33"/>
      <c r="J46" s="33"/>
      <c r="K46" s="40" t="s">
        <v>30</v>
      </c>
      <c r="L46" s="41">
        <f>SUM(L5:L44)</f>
        <v>567291.65775483858</v>
      </c>
    </row>
  </sheetData>
  <mergeCells count="1">
    <mergeCell ref="F2:J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0DEB4-FAD5-314A-AB9C-0E303B68B53A}">
  <dimension ref="B1:D45"/>
  <sheetViews>
    <sheetView zoomScale="208" workbookViewId="0">
      <selection activeCell="E9" sqref="E9"/>
    </sheetView>
  </sheetViews>
  <sheetFormatPr baseColWidth="10" defaultRowHeight="15" x14ac:dyDescent="0.2"/>
  <cols>
    <col min="1" max="2" width="10.83203125" style="1"/>
    <col min="3" max="3" width="25.83203125" style="1" customWidth="1"/>
    <col min="4" max="4" width="12.6640625" style="1" bestFit="1" customWidth="1"/>
    <col min="5" max="16384" width="10.83203125" style="1"/>
  </cols>
  <sheetData>
    <row r="1" spans="2:4" ht="16" thickBot="1" x14ac:dyDescent="0.25"/>
    <row r="2" spans="2:4" x14ac:dyDescent="0.2">
      <c r="B2" s="43" t="s">
        <v>0</v>
      </c>
      <c r="C2" s="26" t="s">
        <v>32</v>
      </c>
      <c r="D2" s="13" t="s">
        <v>29</v>
      </c>
    </row>
    <row r="3" spans="2:4" x14ac:dyDescent="0.2">
      <c r="B3" s="4"/>
      <c r="C3" s="44" t="s">
        <v>33</v>
      </c>
      <c r="D3" s="15">
        <f>Area_Phases!C13</f>
        <v>12463.2786</v>
      </c>
    </row>
    <row r="4" spans="2:4" x14ac:dyDescent="0.2">
      <c r="B4" s="4">
        <v>2026</v>
      </c>
      <c r="C4" s="3">
        <v>4.8123996682923359E-2</v>
      </c>
      <c r="D4" s="45">
        <f>C4*$D$3</f>
        <v>599.78277800474962</v>
      </c>
    </row>
    <row r="5" spans="2:4" x14ac:dyDescent="0.2">
      <c r="B5" s="4">
        <v>2027</v>
      </c>
      <c r="C5" s="3">
        <v>4.5258246229321071E-2</v>
      </c>
      <c r="D5" s="45">
        <f>C5*$D$3</f>
        <v>564.06613170342803</v>
      </c>
    </row>
    <row r="6" spans="2:4" x14ac:dyDescent="0.2">
      <c r="B6" s="4">
        <v>2028</v>
      </c>
      <c r="C6" s="3">
        <v>6.1848391328313733E-2</v>
      </c>
      <c r="D6" s="45">
        <f t="shared" ref="D5:D43" si="0">C6*$D$3</f>
        <v>770.83373208659805</v>
      </c>
    </row>
    <row r="7" spans="2:4" x14ac:dyDescent="0.2">
      <c r="B7" s="4">
        <v>2029</v>
      </c>
      <c r="C7" s="3">
        <v>0.13000021443471352</v>
      </c>
      <c r="D7" s="45">
        <f t="shared" si="0"/>
        <v>1620.228890559576</v>
      </c>
    </row>
    <row r="8" spans="2:4" x14ac:dyDescent="0.2">
      <c r="B8" s="4">
        <v>2030</v>
      </c>
      <c r="C8" s="3">
        <v>0.25751098383604465</v>
      </c>
      <c r="D8" s="45">
        <f t="shared" si="0"/>
        <v>3209.4311341087209</v>
      </c>
    </row>
    <row r="9" spans="2:4" x14ac:dyDescent="0.2">
      <c r="B9" s="4">
        <v>2031</v>
      </c>
      <c r="C9" s="3">
        <v>0.48123169264988352</v>
      </c>
      <c r="D9" s="45">
        <f t="shared" si="0"/>
        <v>5997.7246566450704</v>
      </c>
    </row>
    <row r="10" spans="2:4" x14ac:dyDescent="0.2">
      <c r="B10" s="4">
        <v>2032</v>
      </c>
      <c r="C10" s="3">
        <v>0.79855003986519346</v>
      </c>
      <c r="D10" s="45">
        <f t="shared" si="0"/>
        <v>9952.551622881012</v>
      </c>
    </row>
    <row r="11" spans="2:4" x14ac:dyDescent="0.2">
      <c r="B11" s="4">
        <v>2033</v>
      </c>
      <c r="C11" s="3">
        <v>1.1250196100420393</v>
      </c>
      <c r="D11" s="45">
        <f t="shared" si="0"/>
        <v>14021.432830417294</v>
      </c>
    </row>
    <row r="12" spans="2:4" x14ac:dyDescent="0.2">
      <c r="B12" s="4">
        <v>2034</v>
      </c>
      <c r="C12" s="3">
        <v>1.3354879766364618</v>
      </c>
      <c r="D12" s="45">
        <f t="shared" si="0"/>
        <v>16644.558719770514</v>
      </c>
    </row>
    <row r="13" spans="2:4" x14ac:dyDescent="0.2">
      <c r="B13" s="4">
        <v>2035</v>
      </c>
      <c r="C13" s="3">
        <v>1.390836047745508</v>
      </c>
      <c r="D13" s="45">
        <f t="shared" si="0"/>
        <v>17334.377149975167</v>
      </c>
    </row>
    <row r="14" spans="2:4" x14ac:dyDescent="0.2">
      <c r="B14" s="4">
        <v>2036</v>
      </c>
      <c r="C14" s="3">
        <v>1.3662518269650017</v>
      </c>
      <c r="D14" s="45">
        <f t="shared" si="0"/>
        <v>17027.97715722381</v>
      </c>
    </row>
    <row r="15" spans="2:4" x14ac:dyDescent="0.2">
      <c r="B15" s="4">
        <v>2037</v>
      </c>
      <c r="C15" s="3">
        <v>1.3645811828878303</v>
      </c>
      <c r="D15" s="45">
        <f t="shared" si="0"/>
        <v>17007.155454648582</v>
      </c>
    </row>
    <row r="16" spans="2:4" x14ac:dyDescent="0.2">
      <c r="B16" s="4">
        <v>2038</v>
      </c>
      <c r="C16" s="3">
        <v>1.4396840700383962</v>
      </c>
      <c r="D16" s="45">
        <f t="shared" si="0"/>
        <v>17943.183660870443</v>
      </c>
    </row>
    <row r="17" spans="2:4" x14ac:dyDescent="0.2">
      <c r="B17" s="4">
        <v>2039</v>
      </c>
      <c r="C17" s="3">
        <v>1.596581539513434</v>
      </c>
      <c r="D17" s="45">
        <f t="shared" si="0"/>
        <v>19898.640534572834</v>
      </c>
    </row>
    <row r="18" spans="2:4" x14ac:dyDescent="0.2">
      <c r="B18" s="4">
        <v>2040</v>
      </c>
      <c r="C18" s="3">
        <v>1.8194891664665791</v>
      </c>
      <c r="D18" s="45">
        <f t="shared" si="0"/>
        <v>22676.800391354751</v>
      </c>
    </row>
    <row r="19" spans="2:4" x14ac:dyDescent="0.2">
      <c r="B19" s="4">
        <v>2041</v>
      </c>
      <c r="C19" s="3">
        <v>2.1029623736324337</v>
      </c>
      <c r="D19" s="45">
        <f t="shared" si="0"/>
        <v>26209.805947898312</v>
      </c>
    </row>
    <row r="20" spans="2:4" x14ac:dyDescent="0.2">
      <c r="B20" s="4">
        <v>2042</v>
      </c>
      <c r="C20" s="3">
        <v>2.415032011353845</v>
      </c>
      <c r="D20" s="45">
        <f t="shared" si="0"/>
        <v>30099.216785421333</v>
      </c>
    </row>
    <row r="21" spans="2:4" x14ac:dyDescent="0.2">
      <c r="B21" s="4">
        <v>2043</v>
      </c>
      <c r="C21" s="3">
        <v>2.7234598555366425</v>
      </c>
      <c r="D21" s="45">
        <f t="shared" si="0"/>
        <v>33943.238935468929</v>
      </c>
    </row>
    <row r="22" spans="2:4" x14ac:dyDescent="0.2">
      <c r="B22" s="4">
        <v>2044</v>
      </c>
      <c r="C22" s="3">
        <v>3.017061099193215</v>
      </c>
      <c r="D22" s="45">
        <f t="shared" si="0"/>
        <v>37602.473032467271</v>
      </c>
    </row>
    <row r="23" spans="2:4" x14ac:dyDescent="0.2">
      <c r="B23" s="4">
        <v>2045</v>
      </c>
      <c r="C23" s="3">
        <v>3.2890977608751815</v>
      </c>
      <c r="D23" s="45">
        <f t="shared" si="0"/>
        <v>40992.941736423563</v>
      </c>
    </row>
    <row r="24" spans="2:4" x14ac:dyDescent="0.2">
      <c r="B24" s="4">
        <v>2046</v>
      </c>
      <c r="C24" s="3">
        <v>3.4034153196961046</v>
      </c>
      <c r="D24" s="45">
        <f t="shared" si="0"/>
        <v>42417.713320880619</v>
      </c>
    </row>
    <row r="25" spans="2:4" x14ac:dyDescent="0.2">
      <c r="B25" s="4">
        <v>2047</v>
      </c>
      <c r="C25" s="3">
        <v>3.5614651534442014</v>
      </c>
      <c r="D25" s="45">
        <f t="shared" si="0"/>
        <v>44387.532431566833</v>
      </c>
    </row>
    <row r="26" spans="2:4" x14ac:dyDescent="0.2">
      <c r="B26" s="4">
        <v>2048</v>
      </c>
      <c r="C26" s="3">
        <v>3.6733459964960709</v>
      </c>
      <c r="D26" s="45">
        <f t="shared" si="0"/>
        <v>45781.934548525154</v>
      </c>
    </row>
    <row r="27" spans="2:4" x14ac:dyDescent="0.2">
      <c r="B27" s="4">
        <v>2049</v>
      </c>
      <c r="C27" s="3">
        <v>3.7328940502522743</v>
      </c>
      <c r="D27" s="45">
        <f t="shared" si="0"/>
        <v>46524.098532576492</v>
      </c>
    </row>
    <row r="28" spans="2:4" x14ac:dyDescent="0.2">
      <c r="B28" s="4">
        <v>2050</v>
      </c>
      <c r="C28" s="3">
        <v>3.7380419847237496</v>
      </c>
      <c r="D28" s="45">
        <f t="shared" si="0"/>
        <v>46588.258674109034</v>
      </c>
    </row>
    <row r="29" spans="2:4" x14ac:dyDescent="0.2">
      <c r="B29" s="4">
        <v>2051</v>
      </c>
      <c r="C29" s="3">
        <v>3.6920107275130207</v>
      </c>
      <c r="D29" s="45">
        <f t="shared" si="0"/>
        <v>46014.558291183464</v>
      </c>
    </row>
    <row r="30" spans="2:4" x14ac:dyDescent="0.2">
      <c r="B30" s="4">
        <v>2052</v>
      </c>
      <c r="C30" s="3">
        <v>3.5982010812338117</v>
      </c>
      <c r="D30" s="45">
        <f t="shared" si="0"/>
        <v>44845.382534238226</v>
      </c>
    </row>
    <row r="31" spans="2:4" x14ac:dyDescent="0.2">
      <c r="B31" s="4">
        <v>2053</v>
      </c>
      <c r="C31" s="3">
        <v>3.4638375703908748</v>
      </c>
      <c r="D31" s="45">
        <f t="shared" si="0"/>
        <v>43170.772664928583</v>
      </c>
    </row>
    <row r="32" spans="2:4" x14ac:dyDescent="0.2">
      <c r="B32" s="4">
        <v>2054</v>
      </c>
      <c r="C32" s="3">
        <v>3.2944514752362952</v>
      </c>
      <c r="D32" s="45">
        <f t="shared" si="0"/>
        <v>41059.666570050947</v>
      </c>
    </row>
    <row r="33" spans="2:4" x14ac:dyDescent="0.2">
      <c r="B33" s="4">
        <v>2055</v>
      </c>
      <c r="C33" s="3">
        <v>3.1038310908523559</v>
      </c>
      <c r="D33" s="45">
        <f t="shared" si="0"/>
        <v>38683.911612634824</v>
      </c>
    </row>
    <row r="34" spans="2:4" x14ac:dyDescent="0.2">
      <c r="B34" s="4">
        <v>2056</v>
      </c>
      <c r="C34" s="3">
        <v>2.897710000803861</v>
      </c>
      <c r="D34" s="45">
        <f t="shared" si="0"/>
        <v>36114.967042024742</v>
      </c>
    </row>
    <row r="35" spans="2:4" x14ac:dyDescent="0.2">
      <c r="B35" s="4">
        <v>2057</v>
      </c>
      <c r="C35" s="3">
        <v>2.6866363686191685</v>
      </c>
      <c r="D35" s="45">
        <f t="shared" si="0"/>
        <v>33484.297558992992</v>
      </c>
    </row>
    <row r="36" spans="2:4" x14ac:dyDescent="0.2">
      <c r="B36" s="4">
        <v>2058</v>
      </c>
      <c r="C36" s="3">
        <v>2.4977012453217609</v>
      </c>
      <c r="D36" s="45">
        <f t="shared" si="0"/>
        <v>31129.54648001205</v>
      </c>
    </row>
    <row r="37" spans="2:4" x14ac:dyDescent="0.2">
      <c r="B37" s="4">
        <v>2059</v>
      </c>
      <c r="C37" s="3">
        <v>2.3173628935820743</v>
      </c>
      <c r="D37" s="45">
        <f t="shared" si="0"/>
        <v>28881.939360015542</v>
      </c>
    </row>
    <row r="38" spans="2:4" x14ac:dyDescent="0.2">
      <c r="B38" s="4">
        <v>2060</v>
      </c>
      <c r="C38" s="3">
        <v>2.1429110857440969</v>
      </c>
      <c r="D38" s="45">
        <f t="shared" si="0"/>
        <v>26707.697876657166</v>
      </c>
    </row>
    <row r="39" spans="2:4" x14ac:dyDescent="0.2">
      <c r="B39" s="4">
        <v>2061</v>
      </c>
      <c r="C39" s="3">
        <v>1.9796789952978722</v>
      </c>
      <c r="D39" s="45">
        <f t="shared" si="0"/>
        <v>24673.290856965472</v>
      </c>
    </row>
    <row r="40" spans="2:4" x14ac:dyDescent="0.2">
      <c r="B40" s="4">
        <v>2062</v>
      </c>
      <c r="C40" s="3">
        <v>1.833289604755322</v>
      </c>
      <c r="D40" s="45">
        <f t="shared" si="0"/>
        <v>22848.799098549462</v>
      </c>
    </row>
    <row r="41" spans="2:4" x14ac:dyDescent="0.2">
      <c r="B41" s="4">
        <v>2063</v>
      </c>
      <c r="C41" s="3">
        <v>1.7015667042780258</v>
      </c>
      <c r="D41" s="45">
        <f t="shared" si="0"/>
        <v>21207.099891900845</v>
      </c>
    </row>
    <row r="42" spans="2:4" x14ac:dyDescent="0.2">
      <c r="B42" s="4">
        <v>2064</v>
      </c>
      <c r="C42" s="3">
        <v>1.5890026944681883</v>
      </c>
      <c r="D42" s="45">
        <f t="shared" si="0"/>
        <v>19804.183277307708</v>
      </c>
    </row>
    <row r="43" spans="2:4" ht="16" thickBot="1" x14ac:dyDescent="0.25">
      <c r="B43" s="5">
        <v>2065</v>
      </c>
      <c r="C43" s="25">
        <v>1.4923063587842333</v>
      </c>
      <c r="D43" s="46">
        <f t="shared" si="0"/>
        <v>18599.029906079457</v>
      </c>
    </row>
    <row r="45" spans="2:4" x14ac:dyDescent="0.2">
      <c r="C45" s="27" t="s">
        <v>30</v>
      </c>
      <c r="D45" s="28">
        <f>SUM(D4:D43)</f>
        <v>1037041.1018117013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83A52A-9FFC-DB4E-B9E6-FFB99307A2D3}">
  <dimension ref="A1:F43"/>
  <sheetViews>
    <sheetView zoomScale="150" workbookViewId="0">
      <selection activeCell="D23" sqref="D23"/>
    </sheetView>
  </sheetViews>
  <sheetFormatPr baseColWidth="10" defaultRowHeight="15" x14ac:dyDescent="0.2"/>
  <cols>
    <col min="1" max="1" width="10.83203125" style="1"/>
    <col min="2" max="2" width="25.83203125" style="1" customWidth="1"/>
    <col min="3" max="3" width="23.6640625" style="1" customWidth="1"/>
    <col min="4" max="4" width="20.33203125" style="1" customWidth="1"/>
    <col min="5" max="5" width="22.83203125" style="1" customWidth="1"/>
    <col min="6" max="6" width="14" style="1" customWidth="1"/>
    <col min="7" max="16384" width="10.83203125" style="1"/>
  </cols>
  <sheetData>
    <row r="1" spans="1:6" ht="16" thickBot="1" x14ac:dyDescent="0.25">
      <c r="A1" s="33"/>
      <c r="B1" s="33"/>
      <c r="C1" s="33"/>
      <c r="D1" s="33"/>
      <c r="E1" s="33"/>
      <c r="F1" s="33"/>
    </row>
    <row r="2" spans="1:6" x14ac:dyDescent="0.2">
      <c r="A2" s="33" t="s">
        <v>0</v>
      </c>
      <c r="B2" s="33" t="s">
        <v>34</v>
      </c>
      <c r="C2" s="33" t="s">
        <v>35</v>
      </c>
      <c r="D2" s="33" t="s">
        <v>53</v>
      </c>
      <c r="E2" s="33" t="s">
        <v>36</v>
      </c>
      <c r="F2" s="56" t="s">
        <v>37</v>
      </c>
    </row>
    <row r="3" spans="1:6" x14ac:dyDescent="0.2">
      <c r="A3" s="33"/>
      <c r="B3" s="33"/>
      <c r="C3" s="33"/>
      <c r="D3" s="33"/>
      <c r="E3" s="37" t="s">
        <v>38</v>
      </c>
      <c r="F3" s="15">
        <f>Area_Phases!C11</f>
        <v>41544.262000000002</v>
      </c>
    </row>
    <row r="4" spans="1:6" x14ac:dyDescent="0.2">
      <c r="A4" s="33">
        <v>2026</v>
      </c>
      <c r="B4" s="33">
        <v>0.18989305000000001</v>
      </c>
      <c r="C4" s="33">
        <v>0.25040000000000001</v>
      </c>
      <c r="D4" s="33">
        <v>0.25357760000000001</v>
      </c>
      <c r="E4" s="33">
        <v>446.96</v>
      </c>
      <c r="F4" s="57">
        <f>SUM(B4:D4)*$F$3 + E4</f>
        <v>29273.304077710301</v>
      </c>
    </row>
    <row r="5" spans="1:6" x14ac:dyDescent="0.2">
      <c r="A5" s="33">
        <v>2027</v>
      </c>
      <c r="B5" s="33">
        <v>0.18989305000000001</v>
      </c>
      <c r="C5" s="33">
        <v>0.25040000000000001</v>
      </c>
      <c r="D5" s="33">
        <v>0.25357760000000001</v>
      </c>
      <c r="E5" s="33">
        <v>446.96</v>
      </c>
      <c r="F5" s="57">
        <f t="shared" ref="F5:F43" si="0">SUM(B5:D5)*$F$3 + E5</f>
        <v>29273.304077710301</v>
      </c>
    </row>
    <row r="6" spans="1:6" x14ac:dyDescent="0.2">
      <c r="A6" s="33">
        <v>2028</v>
      </c>
      <c r="B6" s="33">
        <v>0.18989305000000001</v>
      </c>
      <c r="C6" s="33">
        <v>0.25040000000000001</v>
      </c>
      <c r="D6" s="33">
        <v>0.25357760000000001</v>
      </c>
      <c r="E6" s="33">
        <v>446.96</v>
      </c>
      <c r="F6" s="57">
        <f t="shared" si="0"/>
        <v>29273.304077710301</v>
      </c>
    </row>
    <row r="7" spans="1:6" x14ac:dyDescent="0.2">
      <c r="A7" s="33">
        <v>2029</v>
      </c>
      <c r="B7" s="33">
        <v>0.18989305000000001</v>
      </c>
      <c r="C7" s="33">
        <v>0.25040000000000001</v>
      </c>
      <c r="D7" s="33">
        <v>0.25357760000000001</v>
      </c>
      <c r="E7" s="33">
        <v>446.96</v>
      </c>
      <c r="F7" s="57">
        <f t="shared" si="0"/>
        <v>29273.304077710301</v>
      </c>
    </row>
    <row r="8" spans="1:6" x14ac:dyDescent="0.2">
      <c r="A8" s="33">
        <v>2030</v>
      </c>
      <c r="B8" s="33">
        <v>0.18989305000000001</v>
      </c>
      <c r="C8" s="33">
        <v>0.25040000000000001</v>
      </c>
      <c r="D8" s="33">
        <v>0.25357760000000001</v>
      </c>
      <c r="E8" s="33">
        <v>446.96</v>
      </c>
      <c r="F8" s="57">
        <f t="shared" si="0"/>
        <v>29273.304077710301</v>
      </c>
    </row>
    <row r="9" spans="1:6" x14ac:dyDescent="0.2">
      <c r="A9" s="33">
        <v>2031</v>
      </c>
      <c r="B9" s="33">
        <v>0.18989305000000001</v>
      </c>
      <c r="C9" s="33">
        <v>0.25040000000000001</v>
      </c>
      <c r="D9" s="33">
        <v>0.25357760000000001</v>
      </c>
      <c r="E9" s="33">
        <v>446.96</v>
      </c>
      <c r="F9" s="57">
        <f t="shared" si="0"/>
        <v>29273.304077710301</v>
      </c>
    </row>
    <row r="10" spans="1:6" x14ac:dyDescent="0.2">
      <c r="A10" s="33">
        <v>2032</v>
      </c>
      <c r="B10" s="33">
        <v>0.18989305000000001</v>
      </c>
      <c r="C10" s="33">
        <v>0.25040000000000001</v>
      </c>
      <c r="D10" s="33">
        <v>0.25357760000000001</v>
      </c>
      <c r="E10" s="33">
        <v>446.96</v>
      </c>
      <c r="F10" s="57">
        <f t="shared" si="0"/>
        <v>29273.304077710301</v>
      </c>
    </row>
    <row r="11" spans="1:6" x14ac:dyDescent="0.2">
      <c r="A11" s="33">
        <v>2033</v>
      </c>
      <c r="B11" s="33">
        <v>0.18989305000000001</v>
      </c>
      <c r="C11" s="33">
        <v>0.25040000000000001</v>
      </c>
      <c r="D11" s="33">
        <v>0.25357760000000001</v>
      </c>
      <c r="E11" s="33">
        <v>446.96</v>
      </c>
      <c r="F11" s="57">
        <f t="shared" si="0"/>
        <v>29273.304077710301</v>
      </c>
    </row>
    <row r="12" spans="1:6" x14ac:dyDescent="0.2">
      <c r="A12" s="33">
        <v>2034</v>
      </c>
      <c r="B12" s="33">
        <v>0.18989305000000001</v>
      </c>
      <c r="C12" s="33">
        <v>0.25040000000000001</v>
      </c>
      <c r="D12" s="33">
        <v>0.25357760000000001</v>
      </c>
      <c r="E12" s="33">
        <v>446.96</v>
      </c>
      <c r="F12" s="57">
        <f t="shared" si="0"/>
        <v>29273.304077710301</v>
      </c>
    </row>
    <row r="13" spans="1:6" x14ac:dyDescent="0.2">
      <c r="A13" s="33">
        <v>2035</v>
      </c>
      <c r="B13" s="33">
        <v>0.18989305000000001</v>
      </c>
      <c r="C13" s="33">
        <v>0.25040000000000001</v>
      </c>
      <c r="D13" s="33">
        <v>0.25357760000000001</v>
      </c>
      <c r="E13" s="33">
        <v>446.96</v>
      </c>
      <c r="F13" s="57">
        <f t="shared" si="0"/>
        <v>29273.304077710301</v>
      </c>
    </row>
    <row r="14" spans="1:6" x14ac:dyDescent="0.2">
      <c r="A14" s="33">
        <v>2036</v>
      </c>
      <c r="B14" s="33">
        <v>0.18989305000000001</v>
      </c>
      <c r="C14" s="33">
        <v>0.25040000000000001</v>
      </c>
      <c r="D14" s="33">
        <v>0.25357760000000001</v>
      </c>
      <c r="E14" s="33">
        <v>446.96</v>
      </c>
      <c r="F14" s="57">
        <f t="shared" si="0"/>
        <v>29273.304077710301</v>
      </c>
    </row>
    <row r="15" spans="1:6" x14ac:dyDescent="0.2">
      <c r="A15" s="33">
        <v>2037</v>
      </c>
      <c r="B15" s="33">
        <v>0.18989305000000001</v>
      </c>
      <c r="C15" s="33">
        <v>0.25040000000000001</v>
      </c>
      <c r="D15" s="33">
        <v>0.25357760000000001</v>
      </c>
      <c r="E15" s="33">
        <v>446.96</v>
      </c>
      <c r="F15" s="57">
        <f>SUM(B15:D15)*$F$3 + E15</f>
        <v>29273.304077710301</v>
      </c>
    </row>
    <row r="16" spans="1:6" x14ac:dyDescent="0.2">
      <c r="A16" s="33">
        <v>2038</v>
      </c>
      <c r="B16" s="33">
        <v>0.18989305000000001</v>
      </c>
      <c r="C16" s="33">
        <v>0.25040000000000001</v>
      </c>
      <c r="D16" s="33">
        <v>0.25357760000000001</v>
      </c>
      <c r="E16" s="33">
        <v>446.96</v>
      </c>
      <c r="F16" s="57">
        <f t="shared" si="0"/>
        <v>29273.304077710301</v>
      </c>
    </row>
    <row r="17" spans="1:6" x14ac:dyDescent="0.2">
      <c r="A17" s="33">
        <v>2039</v>
      </c>
      <c r="B17" s="33">
        <v>0.18989305000000001</v>
      </c>
      <c r="C17" s="33">
        <v>0.25040000000000001</v>
      </c>
      <c r="D17" s="33">
        <v>0.25357760000000001</v>
      </c>
      <c r="E17" s="33">
        <v>446.96</v>
      </c>
      <c r="F17" s="57">
        <f t="shared" si="0"/>
        <v>29273.304077710301</v>
      </c>
    </row>
    <row r="18" spans="1:6" x14ac:dyDescent="0.2">
      <c r="A18" s="33">
        <v>2040</v>
      </c>
      <c r="B18" s="33">
        <v>0.18989305000000001</v>
      </c>
      <c r="C18" s="33">
        <v>0.25040000000000001</v>
      </c>
      <c r="D18" s="33">
        <v>0.25357760000000001</v>
      </c>
      <c r="E18" s="33">
        <v>446.96</v>
      </c>
      <c r="F18" s="57">
        <f t="shared" si="0"/>
        <v>29273.304077710301</v>
      </c>
    </row>
    <row r="19" spans="1:6" x14ac:dyDescent="0.2">
      <c r="A19" s="33">
        <v>2041</v>
      </c>
      <c r="B19" s="33">
        <v>0.18989305000000001</v>
      </c>
      <c r="C19" s="33">
        <v>0.25040000000000001</v>
      </c>
      <c r="D19" s="33">
        <v>0.25357760000000001</v>
      </c>
      <c r="E19" s="33">
        <v>446.96</v>
      </c>
      <c r="F19" s="57">
        <f t="shared" si="0"/>
        <v>29273.304077710301</v>
      </c>
    </row>
    <row r="20" spans="1:6" x14ac:dyDescent="0.2">
      <c r="A20" s="33">
        <v>2042</v>
      </c>
      <c r="B20" s="33">
        <v>0.18989305000000001</v>
      </c>
      <c r="C20" s="33">
        <v>0.25040000000000001</v>
      </c>
      <c r="D20" s="33">
        <v>0.25357760000000001</v>
      </c>
      <c r="E20" s="33">
        <v>446.96</v>
      </c>
      <c r="F20" s="57">
        <f t="shared" si="0"/>
        <v>29273.304077710301</v>
      </c>
    </row>
    <row r="21" spans="1:6" x14ac:dyDescent="0.2">
      <c r="A21" s="33">
        <v>2043</v>
      </c>
      <c r="B21" s="33">
        <v>0.18989305000000001</v>
      </c>
      <c r="C21" s="33">
        <v>0.25040000000000001</v>
      </c>
      <c r="D21" s="33">
        <v>0.25357760000000001</v>
      </c>
      <c r="E21" s="33">
        <v>446.96</v>
      </c>
      <c r="F21" s="57">
        <f t="shared" si="0"/>
        <v>29273.304077710301</v>
      </c>
    </row>
    <row r="22" spans="1:6" x14ac:dyDescent="0.2">
      <c r="A22" s="33">
        <v>2044</v>
      </c>
      <c r="B22" s="33">
        <v>0.18989305000000001</v>
      </c>
      <c r="C22" s="33">
        <v>0.25040000000000001</v>
      </c>
      <c r="D22" s="33">
        <v>0.25357760000000001</v>
      </c>
      <c r="E22" s="33">
        <v>446.96</v>
      </c>
      <c r="F22" s="57">
        <f t="shared" si="0"/>
        <v>29273.304077710301</v>
      </c>
    </row>
    <row r="23" spans="1:6" x14ac:dyDescent="0.2">
      <c r="A23" s="33">
        <v>2045</v>
      </c>
      <c r="B23" s="33">
        <v>0.18989305000000001</v>
      </c>
      <c r="C23" s="33">
        <v>0.25040000000000001</v>
      </c>
      <c r="D23" s="33">
        <v>0.25357760000000001</v>
      </c>
      <c r="E23" s="33">
        <v>446.96</v>
      </c>
      <c r="F23" s="57">
        <f t="shared" si="0"/>
        <v>29273.304077710301</v>
      </c>
    </row>
    <row r="24" spans="1:6" x14ac:dyDescent="0.2">
      <c r="A24" s="33">
        <v>2046</v>
      </c>
      <c r="B24" s="33">
        <v>0.18989305000000001</v>
      </c>
      <c r="C24" s="33">
        <v>0.25040000000000001</v>
      </c>
      <c r="D24" s="33">
        <v>0.25357760000000001</v>
      </c>
      <c r="E24" s="33">
        <v>446.96</v>
      </c>
      <c r="F24" s="57">
        <f t="shared" si="0"/>
        <v>29273.304077710301</v>
      </c>
    </row>
    <row r="25" spans="1:6" x14ac:dyDescent="0.2">
      <c r="A25" s="33">
        <v>2047</v>
      </c>
      <c r="B25" s="33">
        <v>0.18989305000000001</v>
      </c>
      <c r="C25" s="33">
        <v>0.25040000000000001</v>
      </c>
      <c r="D25" s="33">
        <v>0.25357760000000001</v>
      </c>
      <c r="E25" s="33">
        <v>446.96</v>
      </c>
      <c r="F25" s="57">
        <f t="shared" si="0"/>
        <v>29273.304077710301</v>
      </c>
    </row>
    <row r="26" spans="1:6" x14ac:dyDescent="0.2">
      <c r="A26" s="33">
        <v>2048</v>
      </c>
      <c r="B26" s="33">
        <v>0.18989305000000001</v>
      </c>
      <c r="C26" s="33">
        <v>0.25040000000000001</v>
      </c>
      <c r="D26" s="33">
        <v>0.25357760000000001</v>
      </c>
      <c r="E26" s="33">
        <v>446.96</v>
      </c>
      <c r="F26" s="57">
        <f t="shared" si="0"/>
        <v>29273.304077710301</v>
      </c>
    </row>
    <row r="27" spans="1:6" x14ac:dyDescent="0.2">
      <c r="A27" s="33">
        <v>2049</v>
      </c>
      <c r="B27" s="33">
        <v>0.18989305000000001</v>
      </c>
      <c r="C27" s="33">
        <v>0.25040000000000001</v>
      </c>
      <c r="D27" s="33">
        <v>0.25357760000000001</v>
      </c>
      <c r="E27" s="33">
        <v>446.96</v>
      </c>
      <c r="F27" s="57">
        <f t="shared" si="0"/>
        <v>29273.304077710301</v>
      </c>
    </row>
    <row r="28" spans="1:6" x14ac:dyDescent="0.2">
      <c r="A28" s="33">
        <v>2050</v>
      </c>
      <c r="B28" s="33">
        <v>0.18989305000000001</v>
      </c>
      <c r="C28" s="33">
        <v>0.25040000000000001</v>
      </c>
      <c r="D28" s="33">
        <v>0.25357760000000001</v>
      </c>
      <c r="E28" s="33">
        <v>446.96</v>
      </c>
      <c r="F28" s="57">
        <f t="shared" si="0"/>
        <v>29273.304077710301</v>
      </c>
    </row>
    <row r="29" spans="1:6" x14ac:dyDescent="0.2">
      <c r="A29" s="33">
        <v>2051</v>
      </c>
      <c r="B29" s="33">
        <v>0.18989305000000001</v>
      </c>
      <c r="C29" s="33">
        <v>0.25040000000000001</v>
      </c>
      <c r="D29" s="33">
        <v>0.25357760000000001</v>
      </c>
      <c r="E29" s="33">
        <v>446.96</v>
      </c>
      <c r="F29" s="57">
        <f t="shared" si="0"/>
        <v>29273.304077710301</v>
      </c>
    </row>
    <row r="30" spans="1:6" x14ac:dyDescent="0.2">
      <c r="A30" s="33">
        <v>2052</v>
      </c>
      <c r="B30" s="33">
        <v>0.18989305000000001</v>
      </c>
      <c r="C30" s="33">
        <v>0.25040000000000001</v>
      </c>
      <c r="D30" s="33">
        <v>0.25357760000000001</v>
      </c>
      <c r="E30" s="33">
        <v>446.96</v>
      </c>
      <c r="F30" s="57">
        <f t="shared" si="0"/>
        <v>29273.304077710301</v>
      </c>
    </row>
    <row r="31" spans="1:6" x14ac:dyDescent="0.2">
      <c r="A31" s="33">
        <v>2053</v>
      </c>
      <c r="B31" s="33">
        <v>0.18989305000000001</v>
      </c>
      <c r="C31" s="33">
        <v>0.25040000000000001</v>
      </c>
      <c r="D31" s="33">
        <v>0.25357760000000001</v>
      </c>
      <c r="E31" s="33">
        <v>446.96</v>
      </c>
      <c r="F31" s="57">
        <f t="shared" si="0"/>
        <v>29273.304077710301</v>
      </c>
    </row>
    <row r="32" spans="1:6" x14ac:dyDescent="0.2">
      <c r="A32" s="33">
        <v>2054</v>
      </c>
      <c r="B32" s="33">
        <v>0.18989305000000001</v>
      </c>
      <c r="C32" s="33">
        <v>0.25040000000000001</v>
      </c>
      <c r="D32" s="33">
        <v>0.25357760000000001</v>
      </c>
      <c r="E32" s="33">
        <v>446.96</v>
      </c>
      <c r="F32" s="57">
        <f t="shared" si="0"/>
        <v>29273.304077710301</v>
      </c>
    </row>
    <row r="33" spans="1:6" x14ac:dyDescent="0.2">
      <c r="A33" s="33">
        <v>2055</v>
      </c>
      <c r="B33" s="33">
        <v>0.18989305000000001</v>
      </c>
      <c r="C33" s="33">
        <v>0.25040000000000001</v>
      </c>
      <c r="D33" s="33">
        <v>0.25357760000000001</v>
      </c>
      <c r="E33" s="33">
        <v>446.96</v>
      </c>
      <c r="F33" s="57">
        <f t="shared" si="0"/>
        <v>29273.304077710301</v>
      </c>
    </row>
    <row r="34" spans="1:6" x14ac:dyDescent="0.2">
      <c r="A34" s="33">
        <v>2056</v>
      </c>
      <c r="B34" s="33">
        <v>0.18989305000000001</v>
      </c>
      <c r="C34" s="33">
        <v>0.25040000000000001</v>
      </c>
      <c r="D34" s="33">
        <v>0.25357760000000001</v>
      </c>
      <c r="E34" s="33">
        <v>446.96</v>
      </c>
      <c r="F34" s="57">
        <f t="shared" si="0"/>
        <v>29273.304077710301</v>
      </c>
    </row>
    <row r="35" spans="1:6" x14ac:dyDescent="0.2">
      <c r="A35" s="33">
        <v>2057</v>
      </c>
      <c r="B35" s="33">
        <v>0.18989305000000001</v>
      </c>
      <c r="C35" s="33">
        <v>0.25040000000000001</v>
      </c>
      <c r="D35" s="33">
        <v>0.25357760000000001</v>
      </c>
      <c r="E35" s="33">
        <v>446.96</v>
      </c>
      <c r="F35" s="57">
        <f t="shared" si="0"/>
        <v>29273.304077710301</v>
      </c>
    </row>
    <row r="36" spans="1:6" x14ac:dyDescent="0.2">
      <c r="A36" s="33">
        <v>2058</v>
      </c>
      <c r="B36" s="33">
        <v>0.18989305000000001</v>
      </c>
      <c r="C36" s="33">
        <v>0.25040000000000001</v>
      </c>
      <c r="D36" s="33">
        <v>0.25357760000000001</v>
      </c>
      <c r="E36" s="33">
        <v>446.96</v>
      </c>
      <c r="F36" s="57">
        <f t="shared" si="0"/>
        <v>29273.304077710301</v>
      </c>
    </row>
    <row r="37" spans="1:6" x14ac:dyDescent="0.2">
      <c r="A37" s="33">
        <v>2059</v>
      </c>
      <c r="B37" s="33">
        <v>0.18989305000000001</v>
      </c>
      <c r="C37" s="33">
        <v>0.25040000000000001</v>
      </c>
      <c r="D37" s="33">
        <v>0.25357760000000001</v>
      </c>
      <c r="E37" s="33">
        <v>446.96</v>
      </c>
      <c r="F37" s="57">
        <f t="shared" si="0"/>
        <v>29273.304077710301</v>
      </c>
    </row>
    <row r="38" spans="1:6" x14ac:dyDescent="0.2">
      <c r="A38" s="33">
        <v>2060</v>
      </c>
      <c r="B38" s="33">
        <v>0.18989305000000001</v>
      </c>
      <c r="C38" s="33">
        <v>0.25040000000000001</v>
      </c>
      <c r="D38" s="33">
        <v>0.25357760000000001</v>
      </c>
      <c r="E38" s="33">
        <v>446.96</v>
      </c>
      <c r="F38" s="57">
        <f t="shared" si="0"/>
        <v>29273.304077710301</v>
      </c>
    </row>
    <row r="39" spans="1:6" x14ac:dyDescent="0.2">
      <c r="A39" s="33">
        <v>2061</v>
      </c>
      <c r="B39" s="33">
        <v>0.18989305000000001</v>
      </c>
      <c r="C39" s="33">
        <v>0.25040000000000001</v>
      </c>
      <c r="D39" s="33">
        <v>0.25357760000000001</v>
      </c>
      <c r="E39" s="33">
        <v>446.96</v>
      </c>
      <c r="F39" s="57">
        <f t="shared" si="0"/>
        <v>29273.304077710301</v>
      </c>
    </row>
    <row r="40" spans="1:6" x14ac:dyDescent="0.2">
      <c r="A40" s="33">
        <v>2062</v>
      </c>
      <c r="B40" s="33">
        <v>0.18989305000000001</v>
      </c>
      <c r="C40" s="33">
        <v>0.25040000000000001</v>
      </c>
      <c r="D40" s="33">
        <v>0.25357760000000001</v>
      </c>
      <c r="E40" s="33">
        <v>446.96</v>
      </c>
      <c r="F40" s="57">
        <f t="shared" si="0"/>
        <v>29273.304077710301</v>
      </c>
    </row>
    <row r="41" spans="1:6" x14ac:dyDescent="0.2">
      <c r="A41" s="33">
        <v>2063</v>
      </c>
      <c r="B41" s="33">
        <v>0.18989305000000001</v>
      </c>
      <c r="C41" s="33">
        <v>0.25040000000000001</v>
      </c>
      <c r="D41" s="33">
        <v>0.25357760000000001</v>
      </c>
      <c r="E41" s="33">
        <v>446.96</v>
      </c>
      <c r="F41" s="57">
        <f t="shared" si="0"/>
        <v>29273.304077710301</v>
      </c>
    </row>
    <row r="42" spans="1:6" x14ac:dyDescent="0.2">
      <c r="A42" s="33">
        <v>2064</v>
      </c>
      <c r="B42" s="33">
        <v>0.18989305000000001</v>
      </c>
      <c r="C42" s="33">
        <v>0.25040000000000001</v>
      </c>
      <c r="D42" s="33">
        <v>0.25357760000000001</v>
      </c>
      <c r="E42" s="33">
        <v>446.96</v>
      </c>
      <c r="F42" s="57">
        <f t="shared" si="0"/>
        <v>29273.304077710301</v>
      </c>
    </row>
    <row r="43" spans="1:6" ht="16" thickBot="1" x14ac:dyDescent="0.25">
      <c r="A43" s="33">
        <v>2065</v>
      </c>
      <c r="B43" s="33">
        <v>0.18989305000000001</v>
      </c>
      <c r="C43" s="33">
        <v>0.25040000000000001</v>
      </c>
      <c r="D43" s="33">
        <v>0.25357760000000001</v>
      </c>
      <c r="E43" s="33">
        <v>446.96</v>
      </c>
      <c r="F43" s="58">
        <f t="shared" si="0"/>
        <v>29273.304077710301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2E32B-7154-8045-A6CC-207FF2914FCC}">
  <dimension ref="B1:N53"/>
  <sheetViews>
    <sheetView tabSelected="1" zoomScale="125" workbookViewId="0">
      <selection activeCell="C52" sqref="C52"/>
    </sheetView>
  </sheetViews>
  <sheetFormatPr baseColWidth="10" defaultRowHeight="16" x14ac:dyDescent="0.2"/>
  <cols>
    <col min="2" max="2" width="17.33203125" customWidth="1"/>
    <col min="3" max="3" width="12.83203125" bestFit="1" customWidth="1"/>
    <col min="4" max="4" width="11.1640625" bestFit="1" customWidth="1"/>
    <col min="5" max="6" width="12.6640625" bestFit="1" customWidth="1"/>
    <col min="7" max="7" width="16.5" customWidth="1"/>
    <col min="8" max="8" width="36.6640625" customWidth="1"/>
    <col min="9" max="9" width="35.1640625" customWidth="1"/>
    <col min="10" max="10" width="34.5" customWidth="1"/>
    <col min="11" max="11" width="39.1640625" customWidth="1"/>
    <col min="12" max="12" width="29.6640625" customWidth="1"/>
    <col min="13" max="13" width="26.33203125" customWidth="1"/>
    <col min="14" max="14" width="33.6640625" customWidth="1"/>
  </cols>
  <sheetData>
    <row r="1" spans="2:14" ht="17" thickBot="1" x14ac:dyDescent="0.25"/>
    <row r="2" spans="2:14" x14ac:dyDescent="0.2">
      <c r="B2" s="42" t="s">
        <v>0</v>
      </c>
      <c r="C2" s="47" t="s">
        <v>39</v>
      </c>
      <c r="D2" s="48" t="s">
        <v>40</v>
      </c>
      <c r="E2" s="48" t="s">
        <v>41</v>
      </c>
      <c r="F2" s="26" t="s">
        <v>42</v>
      </c>
      <c r="L2" s="82"/>
      <c r="M2" s="82"/>
    </row>
    <row r="3" spans="2:14" x14ac:dyDescent="0.2">
      <c r="B3" s="35"/>
      <c r="C3" s="80"/>
      <c r="D3" s="69"/>
      <c r="E3" s="69"/>
      <c r="F3" s="3"/>
    </row>
    <row r="4" spans="2:14" x14ac:dyDescent="0.2">
      <c r="B4" s="35"/>
      <c r="C4" s="80"/>
      <c r="D4" s="69"/>
      <c r="E4" s="69"/>
      <c r="F4" s="3"/>
      <c r="G4" s="86" t="s">
        <v>62</v>
      </c>
      <c r="H4" s="86" t="s">
        <v>59</v>
      </c>
      <c r="I4" s="86" t="s">
        <v>58</v>
      </c>
      <c r="J4" s="86" t="s">
        <v>57</v>
      </c>
      <c r="K4" s="86" t="s">
        <v>56</v>
      </c>
      <c r="L4" s="82" t="s">
        <v>54</v>
      </c>
      <c r="M4" s="82" t="s">
        <v>55</v>
      </c>
      <c r="N4" s="85" t="s">
        <v>61</v>
      </c>
    </row>
    <row r="5" spans="2:14" x14ac:dyDescent="0.2">
      <c r="B5" s="35">
        <v>2026</v>
      </c>
      <c r="C5" s="69">
        <f>Croplands!Z5</f>
        <v>18889.191929066928</v>
      </c>
      <c r="D5" s="69">
        <f>Grasslands!L5</f>
        <v>5537.2344240993225</v>
      </c>
      <c r="E5" s="69">
        <f>Agroforestry!D4</f>
        <v>599.78277800474962</v>
      </c>
      <c r="F5" s="3">
        <f>'QA3'!F4</f>
        <v>29273.304077710301</v>
      </c>
      <c r="G5" s="80">
        <v>2026</v>
      </c>
      <c r="H5" s="80" t="s">
        <v>60</v>
      </c>
      <c r="I5" s="80" t="s">
        <v>60</v>
      </c>
      <c r="J5" s="80">
        <v>0</v>
      </c>
      <c r="K5" s="84">
        <f>0.2 * (L5+M5)</f>
        <v>10859.902641776262</v>
      </c>
      <c r="L5" s="83">
        <f>F5</f>
        <v>29273.304077710301</v>
      </c>
      <c r="M5" s="83">
        <f>E5+D5+C5</f>
        <v>25026.209131171003</v>
      </c>
      <c r="N5" s="87">
        <f>M5+L5-K5</f>
        <v>43439.610567105046</v>
      </c>
    </row>
    <row r="6" spans="2:14" x14ac:dyDescent="0.2">
      <c r="B6" s="35">
        <v>2027</v>
      </c>
      <c r="C6" s="69">
        <f>Croplands!Z6</f>
        <v>39627.762786079744</v>
      </c>
      <c r="D6" s="69">
        <f>Grasslands!L6</f>
        <v>12239.030830895148</v>
      </c>
      <c r="E6" s="69">
        <f>Agroforestry!D5</f>
        <v>564.06613170342803</v>
      </c>
      <c r="F6" s="3">
        <f>'QA3'!F5</f>
        <v>29273.304077710301</v>
      </c>
      <c r="G6" s="80">
        <v>2027</v>
      </c>
      <c r="H6" s="80" t="s">
        <v>60</v>
      </c>
      <c r="I6" s="80" t="s">
        <v>60</v>
      </c>
      <c r="J6" s="80">
        <v>0</v>
      </c>
      <c r="K6" s="84">
        <f>0.2 * (L6+M6)</f>
        <v>16340.832765277726</v>
      </c>
      <c r="L6" s="83">
        <f t="shared" ref="L6:L44" si="0">F6</f>
        <v>29273.304077710301</v>
      </c>
      <c r="M6" s="83">
        <f t="shared" ref="M6:M44" si="1">E6+D6+C6</f>
        <v>52430.859748678318</v>
      </c>
      <c r="N6" s="87">
        <f t="shared" ref="N6:N44" si="2">M6+L6-K6</f>
        <v>65363.331061110905</v>
      </c>
    </row>
    <row r="7" spans="2:14" x14ac:dyDescent="0.2">
      <c r="B7" s="35">
        <v>2028</v>
      </c>
      <c r="C7" s="69">
        <f>Croplands!Z7</f>
        <v>63261.523965442073</v>
      </c>
      <c r="D7" s="69">
        <f>Grasslands!L7</f>
        <v>19880.24196267598</v>
      </c>
      <c r="E7" s="69">
        <f>Agroforestry!D6</f>
        <v>770.83373208659805</v>
      </c>
      <c r="F7" s="3">
        <f>'QA3'!F6</f>
        <v>29273.304077710301</v>
      </c>
      <c r="G7" s="80">
        <v>2028</v>
      </c>
      <c r="H7" s="80" t="s">
        <v>60</v>
      </c>
      <c r="I7" s="80" t="s">
        <v>60</v>
      </c>
      <c r="J7" s="80">
        <v>0</v>
      </c>
      <c r="K7" s="84">
        <f t="shared" ref="K7:K43" si="3">0.2 * (L7+M7)</f>
        <v>22637.180747582992</v>
      </c>
      <c r="L7" s="83">
        <f t="shared" si="0"/>
        <v>29273.304077710301</v>
      </c>
      <c r="M7" s="83">
        <f t="shared" si="1"/>
        <v>83912.599660204651</v>
      </c>
      <c r="N7" s="87">
        <f t="shared" si="2"/>
        <v>90548.722990331968</v>
      </c>
    </row>
    <row r="8" spans="2:14" x14ac:dyDescent="0.2">
      <c r="B8" s="35">
        <v>2029</v>
      </c>
      <c r="C8" s="69">
        <f>Croplands!Z8</f>
        <v>83312.839500236194</v>
      </c>
      <c r="D8" s="69">
        <f>Grasslands!L8</f>
        <v>26539.404975936042</v>
      </c>
      <c r="E8" s="69">
        <f>Agroforestry!D7</f>
        <v>1620.228890559576</v>
      </c>
      <c r="F8" s="3">
        <f>'QA3'!F7</f>
        <v>29273.304077710301</v>
      </c>
      <c r="G8" s="80">
        <v>2029</v>
      </c>
      <c r="H8" s="80" t="s">
        <v>60</v>
      </c>
      <c r="I8" s="80" t="s">
        <v>60</v>
      </c>
      <c r="J8" s="80">
        <v>0</v>
      </c>
      <c r="K8" s="84">
        <f t="shared" si="3"/>
        <v>28149.15548888842</v>
      </c>
      <c r="L8" s="83">
        <f t="shared" si="0"/>
        <v>29273.304077710301</v>
      </c>
      <c r="M8" s="83">
        <f t="shared" si="1"/>
        <v>111472.47336673181</v>
      </c>
      <c r="N8" s="87">
        <f t="shared" si="2"/>
        <v>112596.62195555368</v>
      </c>
    </row>
    <row r="9" spans="2:14" x14ac:dyDescent="0.2">
      <c r="B9" s="35">
        <v>2030</v>
      </c>
      <c r="C9" s="69">
        <f>Croplands!Z9</f>
        <v>88497.399941782074</v>
      </c>
      <c r="D9" s="69">
        <f>Grasslands!L9</f>
        <v>28701.636209634107</v>
      </c>
      <c r="E9" s="69">
        <f>Agroforestry!D8</f>
        <v>3209.4311341087209</v>
      </c>
      <c r="F9" s="3">
        <f>'QA3'!F8</f>
        <v>29273.304077710301</v>
      </c>
      <c r="G9" s="80">
        <v>2030</v>
      </c>
      <c r="H9" s="80" t="s">
        <v>60</v>
      </c>
      <c r="I9" s="80" t="s">
        <v>60</v>
      </c>
      <c r="J9" s="80">
        <v>0</v>
      </c>
      <c r="K9" s="84">
        <f t="shared" si="3"/>
        <v>29936.35427264704</v>
      </c>
      <c r="L9" s="83">
        <f t="shared" si="0"/>
        <v>29273.304077710301</v>
      </c>
      <c r="M9" s="83">
        <f t="shared" si="1"/>
        <v>120408.46728552491</v>
      </c>
      <c r="N9" s="87">
        <f t="shared" si="2"/>
        <v>119745.41709058816</v>
      </c>
    </row>
    <row r="10" spans="2:14" x14ac:dyDescent="0.2">
      <c r="B10" s="35">
        <v>2031</v>
      </c>
      <c r="C10" s="69">
        <f>Croplands!Z10</f>
        <v>76001.49719366325</v>
      </c>
      <c r="D10" s="69">
        <f>Grasslands!L10</f>
        <v>25156.926639034322</v>
      </c>
      <c r="E10" s="69">
        <f>Agroforestry!D9</f>
        <v>5997.7246566450704</v>
      </c>
      <c r="F10" s="3">
        <f>'QA3'!F9</f>
        <v>29273.304077710301</v>
      </c>
      <c r="G10" s="80">
        <v>2031</v>
      </c>
      <c r="H10" s="80" t="s">
        <v>60</v>
      </c>
      <c r="I10" s="80" t="s">
        <v>60</v>
      </c>
      <c r="J10" s="80">
        <v>0</v>
      </c>
      <c r="K10" s="84">
        <f t="shared" si="3"/>
        <v>27285.890513410588</v>
      </c>
      <c r="L10" s="83">
        <f t="shared" si="0"/>
        <v>29273.304077710301</v>
      </c>
      <c r="M10" s="83">
        <f t="shared" si="1"/>
        <v>107156.14848934264</v>
      </c>
      <c r="N10" s="87">
        <f t="shared" si="2"/>
        <v>109143.56205364235</v>
      </c>
    </row>
    <row r="11" spans="2:14" x14ac:dyDescent="0.2">
      <c r="B11" s="35">
        <v>2032</v>
      </c>
      <c r="C11" s="69">
        <f>Croplands!Z11</f>
        <v>67860.361357077083</v>
      </c>
      <c r="D11" s="69">
        <f>Grasslands!L11</f>
        <v>22258.711617279689</v>
      </c>
      <c r="E11" s="69">
        <f>Agroforestry!D10</f>
        <v>9952.551622881012</v>
      </c>
      <c r="F11" s="3">
        <f>'QA3'!F10</f>
        <v>29273.304077710301</v>
      </c>
      <c r="G11" s="80">
        <v>2032</v>
      </c>
      <c r="H11" s="80" t="s">
        <v>60</v>
      </c>
      <c r="I11" s="80" t="s">
        <v>60</v>
      </c>
      <c r="J11" s="80">
        <v>0</v>
      </c>
      <c r="K11" s="84">
        <f t="shared" si="3"/>
        <v>25868.985734989619</v>
      </c>
      <c r="L11" s="83">
        <f t="shared" si="0"/>
        <v>29273.304077710301</v>
      </c>
      <c r="M11" s="83">
        <f t="shared" si="1"/>
        <v>100071.62459723778</v>
      </c>
      <c r="N11" s="87">
        <f t="shared" si="2"/>
        <v>103475.94293995846</v>
      </c>
    </row>
    <row r="12" spans="2:14" x14ac:dyDescent="0.2">
      <c r="B12" s="35">
        <v>2033</v>
      </c>
      <c r="C12" s="69">
        <f>Croplands!Z12</f>
        <v>61544.882444104354</v>
      </c>
      <c r="D12" s="69">
        <f>Grasslands!L12</f>
        <v>20002.041929358471</v>
      </c>
      <c r="E12" s="69">
        <f>Agroforestry!D11</f>
        <v>14021.432830417294</v>
      </c>
      <c r="F12" s="3">
        <f>'QA3'!F11</f>
        <v>29273.304077710301</v>
      </c>
      <c r="G12" s="80">
        <v>2033</v>
      </c>
      <c r="H12" s="80" t="s">
        <v>60</v>
      </c>
      <c r="I12" s="80" t="s">
        <v>60</v>
      </c>
      <c r="J12" s="80">
        <v>0</v>
      </c>
      <c r="K12" s="84">
        <f t="shared" si="3"/>
        <v>24968.332256318085</v>
      </c>
      <c r="L12" s="83">
        <f t="shared" si="0"/>
        <v>29273.304077710301</v>
      </c>
      <c r="M12" s="83">
        <f t="shared" si="1"/>
        <v>95568.357203880121</v>
      </c>
      <c r="N12" s="87">
        <f t="shared" si="2"/>
        <v>99873.329025272338</v>
      </c>
    </row>
    <row r="13" spans="2:14" x14ac:dyDescent="0.2">
      <c r="B13" s="35">
        <v>2034</v>
      </c>
      <c r="C13" s="69">
        <f>Croplands!Z13</f>
        <v>56619.025086567111</v>
      </c>
      <c r="D13" s="69">
        <f>Grasslands!L13</f>
        <v>18234.742312675604</v>
      </c>
      <c r="E13" s="69">
        <f>Agroforestry!D12</f>
        <v>16644.558719770514</v>
      </c>
      <c r="F13" s="3">
        <f>'QA3'!F12</f>
        <v>29273.304077710301</v>
      </c>
      <c r="G13" s="80">
        <v>2034</v>
      </c>
      <c r="H13" s="80" t="s">
        <v>60</v>
      </c>
      <c r="I13" s="80" t="s">
        <v>60</v>
      </c>
      <c r="J13" s="80">
        <v>0</v>
      </c>
      <c r="K13" s="84">
        <f t="shared" si="3"/>
        <v>24154.326039344709</v>
      </c>
      <c r="L13" s="83">
        <f t="shared" si="0"/>
        <v>29273.304077710301</v>
      </c>
      <c r="M13" s="83">
        <f t="shared" si="1"/>
        <v>91498.326119013233</v>
      </c>
      <c r="N13" s="87">
        <f t="shared" si="2"/>
        <v>96617.304157378821</v>
      </c>
    </row>
    <row r="14" spans="2:14" x14ac:dyDescent="0.2">
      <c r="B14" s="35">
        <v>2035</v>
      </c>
      <c r="C14" s="69">
        <f>Croplands!Z14</f>
        <v>52770.418634212125</v>
      </c>
      <c r="D14" s="69">
        <f>Grasslands!L14</f>
        <v>16846.889825688002</v>
      </c>
      <c r="E14" s="69">
        <f>Agroforestry!D13</f>
        <v>17334.377149975167</v>
      </c>
      <c r="F14" s="3">
        <f>'QA3'!F13</f>
        <v>29273.304077710301</v>
      </c>
      <c r="G14" s="80">
        <v>2035</v>
      </c>
      <c r="H14" s="80" t="s">
        <v>60</v>
      </c>
      <c r="I14" s="80" t="s">
        <v>60</v>
      </c>
      <c r="J14" s="80">
        <v>0</v>
      </c>
      <c r="K14" s="84">
        <f t="shared" si="3"/>
        <v>23244.997937517121</v>
      </c>
      <c r="L14" s="83">
        <f t="shared" si="0"/>
        <v>29273.304077710301</v>
      </c>
      <c r="M14" s="83">
        <f t="shared" si="1"/>
        <v>86951.685609875291</v>
      </c>
      <c r="N14" s="87">
        <f t="shared" si="2"/>
        <v>92979.991750068468</v>
      </c>
    </row>
    <row r="15" spans="2:14" x14ac:dyDescent="0.2">
      <c r="B15" s="35">
        <v>2036</v>
      </c>
      <c r="C15" s="69">
        <f>Croplands!Z15</f>
        <v>49760.132655968882</v>
      </c>
      <c r="D15" s="69">
        <f>Grasslands!L15</f>
        <v>15742.299073664162</v>
      </c>
      <c r="E15" s="69">
        <f>Agroforestry!D14</f>
        <v>17027.97715722381</v>
      </c>
      <c r="F15" s="3">
        <f>'QA3'!F14</f>
        <v>29273.304077710301</v>
      </c>
      <c r="G15" s="80">
        <v>2036</v>
      </c>
      <c r="H15" s="80" t="s">
        <v>60</v>
      </c>
      <c r="I15" s="80" t="s">
        <v>60</v>
      </c>
      <c r="J15" s="80">
        <v>0</v>
      </c>
      <c r="K15" s="84">
        <f t="shared" si="3"/>
        <v>22360.742592913433</v>
      </c>
      <c r="L15" s="83">
        <f t="shared" si="0"/>
        <v>29273.304077710301</v>
      </c>
      <c r="M15" s="83">
        <f t="shared" si="1"/>
        <v>82530.408886856865</v>
      </c>
      <c r="N15" s="87">
        <f t="shared" si="2"/>
        <v>89442.970371653733</v>
      </c>
    </row>
    <row r="16" spans="2:14" x14ac:dyDescent="0.2">
      <c r="B16" s="35">
        <v>2037</v>
      </c>
      <c r="C16" s="69">
        <f>Croplands!Z16</f>
        <v>47408.739375907804</v>
      </c>
      <c r="D16" s="69">
        <f>Grasslands!L16</f>
        <v>14886.292023412856</v>
      </c>
      <c r="E16" s="69">
        <f>Agroforestry!D15</f>
        <v>17007.155454648582</v>
      </c>
      <c r="F16" s="3">
        <f>'QA3'!F15</f>
        <v>29273.304077710301</v>
      </c>
      <c r="G16" s="80">
        <v>2037</v>
      </c>
      <c r="H16" s="80" t="s">
        <v>60</v>
      </c>
      <c r="I16" s="80" t="s">
        <v>60</v>
      </c>
      <c r="J16" s="80">
        <v>0</v>
      </c>
      <c r="K16" s="84">
        <f t="shared" si="3"/>
        <v>21715.098186335908</v>
      </c>
      <c r="L16" s="83">
        <f t="shared" si="0"/>
        <v>29273.304077710301</v>
      </c>
      <c r="M16" s="83">
        <f t="shared" si="1"/>
        <v>79302.186853969237</v>
      </c>
      <c r="N16" s="87">
        <f t="shared" si="2"/>
        <v>86860.392745343634</v>
      </c>
    </row>
    <row r="17" spans="2:14" x14ac:dyDescent="0.2">
      <c r="B17" s="35">
        <v>2038</v>
      </c>
      <c r="C17" s="69">
        <f>Croplands!Z17</f>
        <v>45559.713202295345</v>
      </c>
      <c r="D17" s="69">
        <f>Grasslands!L17</f>
        <v>14223.500789922446</v>
      </c>
      <c r="E17" s="69">
        <f>Agroforestry!D16</f>
        <v>17943.183660870443</v>
      </c>
      <c r="F17" s="3">
        <f>'QA3'!F16</f>
        <v>29273.304077710301</v>
      </c>
      <c r="G17" s="80">
        <v>2038</v>
      </c>
      <c r="H17" s="80" t="s">
        <v>60</v>
      </c>
      <c r="I17" s="80" t="s">
        <v>60</v>
      </c>
      <c r="J17" s="80">
        <v>0</v>
      </c>
      <c r="K17" s="84">
        <f t="shared" si="3"/>
        <v>21399.94034615971</v>
      </c>
      <c r="L17" s="83">
        <f t="shared" si="0"/>
        <v>29273.304077710301</v>
      </c>
      <c r="M17" s="83">
        <f t="shared" si="1"/>
        <v>77726.397653088236</v>
      </c>
      <c r="N17" s="87">
        <f t="shared" si="2"/>
        <v>85599.761384638827</v>
      </c>
    </row>
    <row r="18" spans="2:14" x14ac:dyDescent="0.2">
      <c r="B18" s="35">
        <v>2039</v>
      </c>
      <c r="C18" s="69">
        <f>Croplands!Z18</f>
        <v>44112.962832366356</v>
      </c>
      <c r="D18" s="69">
        <f>Grasslands!L18</f>
        <v>13724.468171698418</v>
      </c>
      <c r="E18" s="69">
        <f>Agroforestry!D17</f>
        <v>19898.640534572834</v>
      </c>
      <c r="F18" s="3">
        <f>'QA3'!F17</f>
        <v>29273.304077710301</v>
      </c>
      <c r="G18" s="80">
        <v>2039</v>
      </c>
      <c r="H18" s="80" t="s">
        <v>60</v>
      </c>
      <c r="I18" s="80" t="s">
        <v>60</v>
      </c>
      <c r="J18" s="80">
        <v>0</v>
      </c>
      <c r="K18" s="84">
        <f t="shared" si="3"/>
        <v>21401.875123269583</v>
      </c>
      <c r="L18" s="83">
        <f t="shared" si="0"/>
        <v>29273.304077710301</v>
      </c>
      <c r="M18" s="83">
        <f t="shared" si="1"/>
        <v>77736.071538637611</v>
      </c>
      <c r="N18" s="87">
        <f t="shared" si="2"/>
        <v>85607.500493078333</v>
      </c>
    </row>
    <row r="19" spans="2:14" x14ac:dyDescent="0.2">
      <c r="B19" s="35">
        <v>2040</v>
      </c>
      <c r="C19" s="69">
        <f>Croplands!Z19</f>
        <v>42974.950853295151</v>
      </c>
      <c r="D19" s="69">
        <f>Grasslands!L19</f>
        <v>13333.782532607469</v>
      </c>
      <c r="E19" s="69">
        <f>Agroforestry!D18</f>
        <v>22676.800391354751</v>
      </c>
      <c r="F19" s="3">
        <f>'QA3'!F18</f>
        <v>29273.304077710301</v>
      </c>
      <c r="G19" s="80">
        <v>2040</v>
      </c>
      <c r="H19" s="80" t="s">
        <v>60</v>
      </c>
      <c r="I19" s="80" t="s">
        <v>60</v>
      </c>
      <c r="J19" s="80">
        <v>0</v>
      </c>
      <c r="K19" s="84">
        <f t="shared" si="3"/>
        <v>21651.767570993536</v>
      </c>
      <c r="L19" s="83">
        <f t="shared" si="0"/>
        <v>29273.304077710301</v>
      </c>
      <c r="M19" s="83">
        <f t="shared" si="1"/>
        <v>78985.533777257369</v>
      </c>
      <c r="N19" s="87">
        <f t="shared" si="2"/>
        <v>86607.070283974143</v>
      </c>
    </row>
    <row r="20" spans="2:14" x14ac:dyDescent="0.2">
      <c r="B20" s="35">
        <v>2041</v>
      </c>
      <c r="C20" s="69">
        <f>Croplands!Z20</f>
        <v>42063.900803144505</v>
      </c>
      <c r="D20" s="69">
        <f>Grasslands!L20</f>
        <v>13033.946982812768</v>
      </c>
      <c r="E20" s="69">
        <f>Agroforestry!D19</f>
        <v>26209.805947898312</v>
      </c>
      <c r="F20" s="3">
        <f>'QA3'!F19</f>
        <v>29273.304077710301</v>
      </c>
      <c r="G20" s="80">
        <v>2041</v>
      </c>
      <c r="H20" s="80" t="s">
        <v>60</v>
      </c>
      <c r="I20" s="80" t="s">
        <v>60</v>
      </c>
      <c r="J20" s="80">
        <v>0</v>
      </c>
      <c r="K20" s="84">
        <f t="shared" si="3"/>
        <v>22116.191562313179</v>
      </c>
      <c r="L20" s="83">
        <f t="shared" si="0"/>
        <v>29273.304077710301</v>
      </c>
      <c r="M20" s="83">
        <f t="shared" si="1"/>
        <v>81307.653733855579</v>
      </c>
      <c r="N20" s="87">
        <f t="shared" si="2"/>
        <v>88464.766249252702</v>
      </c>
    </row>
    <row r="21" spans="2:14" x14ac:dyDescent="0.2">
      <c r="B21" s="35">
        <v>2042</v>
      </c>
      <c r="C21" s="69">
        <f>Croplands!Z21</f>
        <v>41335.663433362744</v>
      </c>
      <c r="D21" s="69">
        <f>Grasslands!L21</f>
        <v>12785.672571808667</v>
      </c>
      <c r="E21" s="69">
        <f>Agroforestry!D20</f>
        <v>30099.216785421333</v>
      </c>
      <c r="F21" s="3">
        <f>'QA3'!F20</f>
        <v>29273.304077710301</v>
      </c>
      <c r="G21" s="80">
        <v>2042</v>
      </c>
      <c r="H21" s="80" t="s">
        <v>60</v>
      </c>
      <c r="I21" s="80" t="s">
        <v>60</v>
      </c>
      <c r="J21" s="80">
        <v>0</v>
      </c>
      <c r="K21" s="84">
        <f t="shared" si="3"/>
        <v>22698.771373660609</v>
      </c>
      <c r="L21" s="83">
        <f t="shared" si="0"/>
        <v>29273.304077710301</v>
      </c>
      <c r="M21" s="83">
        <f t="shared" si="1"/>
        <v>84220.552790592745</v>
      </c>
      <c r="N21" s="87">
        <f t="shared" si="2"/>
        <v>90795.085494642437</v>
      </c>
    </row>
    <row r="22" spans="2:14" x14ac:dyDescent="0.2">
      <c r="B22" s="35">
        <v>2043</v>
      </c>
      <c r="C22" s="69">
        <f>Croplands!Z22</f>
        <v>40760.038919458682</v>
      </c>
      <c r="D22" s="69">
        <f>Grasslands!L22</f>
        <v>12578.290394509122</v>
      </c>
      <c r="E22" s="69">
        <f>Agroforestry!D21</f>
        <v>33943.238935468929</v>
      </c>
      <c r="F22" s="3">
        <f>'QA3'!F21</f>
        <v>29273.304077710301</v>
      </c>
      <c r="G22" s="80">
        <v>2043</v>
      </c>
      <c r="H22" s="80" t="s">
        <v>60</v>
      </c>
      <c r="I22" s="80" t="s">
        <v>60</v>
      </c>
      <c r="J22" s="80">
        <v>0</v>
      </c>
      <c r="K22" s="84">
        <f t="shared" si="3"/>
        <v>23310.974465429408</v>
      </c>
      <c r="L22" s="83">
        <f t="shared" si="0"/>
        <v>29273.304077710301</v>
      </c>
      <c r="M22" s="83">
        <f t="shared" si="1"/>
        <v>87281.568249436736</v>
      </c>
      <c r="N22" s="87">
        <f t="shared" si="2"/>
        <v>93243.897861717633</v>
      </c>
    </row>
    <row r="23" spans="2:14" x14ac:dyDescent="0.2">
      <c r="B23" s="35">
        <v>2044</v>
      </c>
      <c r="C23" s="69">
        <f>Croplands!Z23</f>
        <v>40296.366542983109</v>
      </c>
      <c r="D23" s="69">
        <f>Grasslands!L23</f>
        <v>12403.324772949705</v>
      </c>
      <c r="E23" s="69">
        <f>Agroforestry!D22</f>
        <v>37602.473032467271</v>
      </c>
      <c r="F23" s="3">
        <f>'QA3'!F22</f>
        <v>29273.304077710301</v>
      </c>
      <c r="G23" s="80">
        <v>2044</v>
      </c>
      <c r="H23" s="80" t="s">
        <v>60</v>
      </c>
      <c r="I23" s="80" t="s">
        <v>60</v>
      </c>
      <c r="J23" s="80">
        <v>0</v>
      </c>
      <c r="K23" s="84">
        <f t="shared" si="3"/>
        <v>23915.093685222077</v>
      </c>
      <c r="L23" s="83">
        <f t="shared" si="0"/>
        <v>29273.304077710301</v>
      </c>
      <c r="M23" s="83">
        <f t="shared" si="1"/>
        <v>90302.164348400082</v>
      </c>
      <c r="N23" s="87">
        <f t="shared" si="2"/>
        <v>95660.374740888306</v>
      </c>
    </row>
    <row r="24" spans="2:14" x14ac:dyDescent="0.2">
      <c r="B24" s="35">
        <v>2045</v>
      </c>
      <c r="C24" s="69">
        <f>Croplands!Z24</f>
        <v>39923.358844282979</v>
      </c>
      <c r="D24" s="69">
        <f>Grasslands!L24</f>
        <v>12276.499460989984</v>
      </c>
      <c r="E24" s="69">
        <f>Agroforestry!D23</f>
        <v>40992.941736423563</v>
      </c>
      <c r="F24" s="3">
        <f>'QA3'!F23</f>
        <v>29273.304077710301</v>
      </c>
      <c r="G24" s="80">
        <v>2045</v>
      </c>
      <c r="H24" s="80" t="s">
        <v>60</v>
      </c>
      <c r="I24" s="80" t="s">
        <v>60</v>
      </c>
      <c r="J24" s="80">
        <v>0</v>
      </c>
      <c r="K24" s="84">
        <f t="shared" si="3"/>
        <v>24493.220823881366</v>
      </c>
      <c r="L24" s="83">
        <f t="shared" si="0"/>
        <v>29273.304077710301</v>
      </c>
      <c r="M24" s="83">
        <f t="shared" si="1"/>
        <v>93192.800041696522</v>
      </c>
      <c r="N24" s="87">
        <f t="shared" si="2"/>
        <v>97972.883295525462</v>
      </c>
    </row>
    <row r="25" spans="2:14" x14ac:dyDescent="0.2">
      <c r="B25" s="35">
        <v>2046</v>
      </c>
      <c r="C25" s="69">
        <f>Croplands!Z25</f>
        <v>39622.822052156014</v>
      </c>
      <c r="D25" s="69">
        <f>Grasslands!L25</f>
        <v>12183.517899131142</v>
      </c>
      <c r="E25" s="69">
        <f>Agroforestry!D24</f>
        <v>42417.713320880619</v>
      </c>
      <c r="F25" s="3">
        <f>'QA3'!F24</f>
        <v>29273.304077710301</v>
      </c>
      <c r="G25" s="80">
        <v>2046</v>
      </c>
      <c r="H25" s="80" t="s">
        <v>60</v>
      </c>
      <c r="I25" s="80" t="s">
        <v>60</v>
      </c>
      <c r="J25" s="80">
        <v>0</v>
      </c>
      <c r="K25" s="84">
        <f t="shared" si="3"/>
        <v>24699.471469975615</v>
      </c>
      <c r="L25" s="83">
        <f t="shared" si="0"/>
        <v>29273.304077710301</v>
      </c>
      <c r="M25" s="83">
        <f t="shared" si="1"/>
        <v>94224.053272167774</v>
      </c>
      <c r="N25" s="87">
        <f t="shared" si="2"/>
        <v>98797.88587990246</v>
      </c>
    </row>
    <row r="26" spans="2:14" x14ac:dyDescent="0.2">
      <c r="B26" s="35">
        <v>2047</v>
      </c>
      <c r="C26" s="69">
        <f>Croplands!Z26</f>
        <v>39370.212366452688</v>
      </c>
      <c r="D26" s="69">
        <f>Grasslands!L26</f>
        <v>12115.304942617087</v>
      </c>
      <c r="E26" s="69">
        <f>Agroforestry!D25</f>
        <v>44387.532431566833</v>
      </c>
      <c r="F26" s="3">
        <f>'QA3'!F25</f>
        <v>29273.304077710301</v>
      </c>
      <c r="G26" s="80">
        <v>2047</v>
      </c>
      <c r="H26" s="80" t="s">
        <v>60</v>
      </c>
      <c r="I26" s="80" t="s">
        <v>60</v>
      </c>
      <c r="J26" s="80">
        <v>0</v>
      </c>
      <c r="K26" s="84">
        <f t="shared" si="3"/>
        <v>25029.270763669381</v>
      </c>
      <c r="L26" s="83">
        <f t="shared" si="0"/>
        <v>29273.304077710301</v>
      </c>
      <c r="M26" s="83">
        <f t="shared" si="1"/>
        <v>95873.049740636605</v>
      </c>
      <c r="N26" s="87">
        <f t="shared" si="2"/>
        <v>100117.08305467753</v>
      </c>
    </row>
    <row r="27" spans="2:14" x14ac:dyDescent="0.2">
      <c r="B27" s="35">
        <v>2048</v>
      </c>
      <c r="C27" s="69">
        <f>Croplands!Z27</f>
        <v>39147.538681370337</v>
      </c>
      <c r="D27" s="69">
        <f>Grasslands!L27</f>
        <v>12039.211882692558</v>
      </c>
      <c r="E27" s="69">
        <f>Agroforestry!D26</f>
        <v>45781.934548525154</v>
      </c>
      <c r="F27" s="3">
        <f>'QA3'!F26</f>
        <v>29273.304077710301</v>
      </c>
      <c r="G27" s="80">
        <v>2048</v>
      </c>
      <c r="H27" s="80" t="s">
        <v>60</v>
      </c>
      <c r="I27" s="80" t="s">
        <v>60</v>
      </c>
      <c r="J27" s="80">
        <v>0</v>
      </c>
      <c r="K27" s="84">
        <f t="shared" si="3"/>
        <v>25248.397838059671</v>
      </c>
      <c r="L27" s="83">
        <f t="shared" si="0"/>
        <v>29273.304077710301</v>
      </c>
      <c r="M27" s="83">
        <f t="shared" si="1"/>
        <v>96968.685112588049</v>
      </c>
      <c r="N27" s="87">
        <f>M27+L27-K27</f>
        <v>100993.59135223868</v>
      </c>
    </row>
    <row r="28" spans="2:14" x14ac:dyDescent="0.2">
      <c r="B28" s="35">
        <v>2049</v>
      </c>
      <c r="C28" s="69">
        <f>Croplands!Z28</f>
        <v>38957.478639398068</v>
      </c>
      <c r="D28" s="69">
        <f>Grasslands!L28</f>
        <v>12000.740414448537</v>
      </c>
      <c r="E28" s="69">
        <f>Agroforestry!D27</f>
        <v>46524.098532576492</v>
      </c>
      <c r="F28" s="3">
        <f>'QA3'!F27</f>
        <v>29273.304077710301</v>
      </c>
      <c r="G28" s="80">
        <v>2049</v>
      </c>
      <c r="H28" s="80" t="s">
        <v>60</v>
      </c>
      <c r="I28" s="80" t="s">
        <v>60</v>
      </c>
      <c r="J28" s="80">
        <v>0</v>
      </c>
      <c r="K28" s="84">
        <f t="shared" si="3"/>
        <v>25351.124332826683</v>
      </c>
      <c r="L28" s="83">
        <f t="shared" si="0"/>
        <v>29273.304077710301</v>
      </c>
      <c r="M28" s="83">
        <f t="shared" si="1"/>
        <v>97482.317586423102</v>
      </c>
      <c r="N28" s="87">
        <f t="shared" si="2"/>
        <v>101404.49733130672</v>
      </c>
    </row>
    <row r="29" spans="2:14" x14ac:dyDescent="0.2">
      <c r="B29" s="35">
        <v>2050</v>
      </c>
      <c r="C29" s="69">
        <f>Croplands!Z29</f>
        <v>38782.633157687858</v>
      </c>
      <c r="D29" s="69">
        <f>Grasslands!L29</f>
        <v>11945.055722116644</v>
      </c>
      <c r="E29" s="69">
        <f>Agroforestry!D28</f>
        <v>46588.258674109034</v>
      </c>
      <c r="F29" s="3">
        <f>'QA3'!F28</f>
        <v>29273.304077710301</v>
      </c>
      <c r="G29" s="80">
        <v>2050</v>
      </c>
      <c r="H29" s="80" t="s">
        <v>60</v>
      </c>
      <c r="I29" s="80" t="s">
        <v>60</v>
      </c>
      <c r="J29" s="80">
        <v>0</v>
      </c>
      <c r="K29" s="84">
        <f t="shared" si="3"/>
        <v>25317.850326324769</v>
      </c>
      <c r="L29" s="83">
        <f t="shared" si="0"/>
        <v>29273.304077710301</v>
      </c>
      <c r="M29" s="83">
        <f t="shared" si="1"/>
        <v>97315.947553913546</v>
      </c>
      <c r="N29" s="87">
        <f>M29+L29-K29</f>
        <v>101271.40130529908</v>
      </c>
    </row>
    <row r="30" spans="2:14" x14ac:dyDescent="0.2">
      <c r="B30" s="35">
        <v>2051</v>
      </c>
      <c r="C30" s="69">
        <f>Croplands!Z30</f>
        <v>38635.681224122367</v>
      </c>
      <c r="D30" s="69">
        <f>Grasslands!L30</f>
        <v>11903.778958601262</v>
      </c>
      <c r="E30" s="69">
        <f>Agroforestry!D29</f>
        <v>46014.558291183464</v>
      </c>
      <c r="F30" s="3">
        <f>'QA3'!F29</f>
        <v>29273.304077710301</v>
      </c>
      <c r="G30" s="80">
        <v>2051</v>
      </c>
      <c r="H30" s="80" t="s">
        <v>60</v>
      </c>
      <c r="I30" s="80" t="s">
        <v>60</v>
      </c>
      <c r="J30" s="80">
        <v>0</v>
      </c>
      <c r="K30" s="84">
        <f t="shared" si="3"/>
        <v>25165.46451032348</v>
      </c>
      <c r="L30" s="83">
        <f t="shared" si="0"/>
        <v>29273.304077710301</v>
      </c>
      <c r="M30" s="83">
        <f t="shared" si="1"/>
        <v>96554.018473907097</v>
      </c>
      <c r="N30" s="87">
        <f t="shared" si="2"/>
        <v>100661.85804129392</v>
      </c>
    </row>
    <row r="31" spans="2:14" x14ac:dyDescent="0.2">
      <c r="B31" s="35">
        <v>2052</v>
      </c>
      <c r="C31" s="69">
        <f>Croplands!Z31</f>
        <v>38519.898733941867</v>
      </c>
      <c r="D31" s="69">
        <f>Grasslands!L31</f>
        <v>11867.352654916249</v>
      </c>
      <c r="E31" s="69">
        <f>Agroforestry!D30</f>
        <v>44845.382534238226</v>
      </c>
      <c r="F31" s="3">
        <f>'QA3'!F30</f>
        <v>29273.304077710301</v>
      </c>
      <c r="G31" s="80">
        <v>2052</v>
      </c>
      <c r="H31" s="80" t="s">
        <v>60</v>
      </c>
      <c r="I31" s="80" t="s">
        <v>60</v>
      </c>
      <c r="J31" s="80">
        <v>0</v>
      </c>
      <c r="K31" s="84">
        <f t="shared" si="3"/>
        <v>24901.187600161331</v>
      </c>
      <c r="L31" s="83">
        <f t="shared" si="0"/>
        <v>29273.304077710301</v>
      </c>
      <c r="M31" s="83">
        <f t="shared" si="1"/>
        <v>95232.633923096349</v>
      </c>
      <c r="N31" s="87">
        <f t="shared" si="2"/>
        <v>99604.750400645324</v>
      </c>
    </row>
    <row r="32" spans="2:14" x14ac:dyDescent="0.2">
      <c r="B32" s="35">
        <v>2053</v>
      </c>
      <c r="C32" s="69">
        <f>Croplands!Z32</f>
        <v>38416.567271009459</v>
      </c>
      <c r="D32" s="69">
        <f>Grasslands!L32</f>
        <v>11856.192857480153</v>
      </c>
      <c r="E32" s="69">
        <f>Agroforestry!D31</f>
        <v>43170.772664928583</v>
      </c>
      <c r="F32" s="3">
        <f>'QA3'!F31</f>
        <v>29273.304077710301</v>
      </c>
      <c r="G32" s="80">
        <v>2053</v>
      </c>
      <c r="H32" s="80" t="s">
        <v>60</v>
      </c>
      <c r="I32" s="80" t="s">
        <v>60</v>
      </c>
      <c r="J32" s="80">
        <v>0</v>
      </c>
      <c r="K32" s="84">
        <f t="shared" si="3"/>
        <v>24543.367374225698</v>
      </c>
      <c r="L32" s="83">
        <f t="shared" si="0"/>
        <v>29273.304077710301</v>
      </c>
      <c r="M32" s="83">
        <f t="shared" si="1"/>
        <v>93443.532793418184</v>
      </c>
      <c r="N32" s="87">
        <f t="shared" si="2"/>
        <v>98173.469496902791</v>
      </c>
    </row>
    <row r="33" spans="2:14" x14ac:dyDescent="0.2">
      <c r="B33" s="35">
        <v>2054</v>
      </c>
      <c r="C33" s="69">
        <f>Croplands!Z33</f>
        <v>38315.206509087453</v>
      </c>
      <c r="D33" s="69">
        <f>Grasslands!L33</f>
        <v>11811.289094856471</v>
      </c>
      <c r="E33" s="69">
        <f>Agroforestry!D32</f>
        <v>41059.666570050947</v>
      </c>
      <c r="F33" s="3">
        <f>'QA3'!F32</f>
        <v>29273.304077710301</v>
      </c>
      <c r="G33" s="80">
        <v>2054</v>
      </c>
      <c r="H33" s="80" t="s">
        <v>60</v>
      </c>
      <c r="I33" s="80" t="s">
        <v>60</v>
      </c>
      <c r="J33" s="80">
        <v>0</v>
      </c>
      <c r="K33" s="84">
        <f t="shared" si="3"/>
        <v>24091.893250341036</v>
      </c>
      <c r="L33" s="83">
        <f t="shared" si="0"/>
        <v>29273.304077710301</v>
      </c>
      <c r="M33" s="83">
        <f t="shared" si="1"/>
        <v>91186.162173994875</v>
      </c>
      <c r="N33" s="87">
        <f t="shared" si="2"/>
        <v>96367.573001364144</v>
      </c>
    </row>
    <row r="34" spans="2:14" x14ac:dyDescent="0.2">
      <c r="B34" s="35">
        <v>2055</v>
      </c>
      <c r="C34" s="69">
        <f>Croplands!Z34</f>
        <v>38209.990678541275</v>
      </c>
      <c r="D34" s="69">
        <f>Grasslands!L34</f>
        <v>11812.055124600749</v>
      </c>
      <c r="E34" s="69">
        <f>Agroforestry!D33</f>
        <v>38683.911612634824</v>
      </c>
      <c r="F34" s="3">
        <f>'QA3'!F33</f>
        <v>29273.304077710301</v>
      </c>
      <c r="G34" s="80">
        <v>2055</v>
      </c>
      <c r="H34" s="80" t="s">
        <v>60</v>
      </c>
      <c r="I34" s="80" t="s">
        <v>60</v>
      </c>
      <c r="J34" s="80">
        <v>0</v>
      </c>
      <c r="K34" s="84">
        <f t="shared" si="3"/>
        <v>23595.852298697431</v>
      </c>
      <c r="L34" s="83">
        <f t="shared" si="0"/>
        <v>29273.304077710301</v>
      </c>
      <c r="M34" s="83">
        <f t="shared" si="1"/>
        <v>88705.957415776851</v>
      </c>
      <c r="N34" s="87">
        <f t="shared" si="2"/>
        <v>94383.409194789725</v>
      </c>
    </row>
    <row r="35" spans="2:14" x14ac:dyDescent="0.2">
      <c r="B35" s="35">
        <v>2056</v>
      </c>
      <c r="C35" s="69">
        <f>Croplands!Z35</f>
        <v>38109.293964261611</v>
      </c>
      <c r="D35" s="69">
        <f>Grasslands!L35</f>
        <v>11801.01644951635</v>
      </c>
      <c r="E35" s="69">
        <f>Agroforestry!D34</f>
        <v>36114.967042024742</v>
      </c>
      <c r="F35" s="3">
        <f>'QA3'!F34</f>
        <v>29273.304077710301</v>
      </c>
      <c r="G35" s="80">
        <v>2056</v>
      </c>
      <c r="H35" s="80" t="s">
        <v>60</v>
      </c>
      <c r="I35" s="80" t="s">
        <v>60</v>
      </c>
      <c r="J35" s="80">
        <v>0</v>
      </c>
      <c r="K35" s="84">
        <f t="shared" si="3"/>
        <v>23059.716306702601</v>
      </c>
      <c r="L35" s="83">
        <f t="shared" si="0"/>
        <v>29273.304077710301</v>
      </c>
      <c r="M35" s="83">
        <f t="shared" si="1"/>
        <v>86025.277455802701</v>
      </c>
      <c r="N35" s="87">
        <f t="shared" si="2"/>
        <v>92238.865226810405</v>
      </c>
    </row>
    <row r="36" spans="2:14" x14ac:dyDescent="0.2">
      <c r="B36" s="35">
        <v>2057</v>
      </c>
      <c r="C36" s="69">
        <f>Croplands!Z36</f>
        <v>38013.730894177184</v>
      </c>
      <c r="D36" s="69">
        <f>Grasslands!L36</f>
        <v>11783.239883688781</v>
      </c>
      <c r="E36" s="69">
        <f>Agroforestry!D35</f>
        <v>33484.297558992992</v>
      </c>
      <c r="F36" s="3">
        <f>'QA3'!F35</f>
        <v>29273.304077710301</v>
      </c>
      <c r="G36" s="80">
        <v>2057</v>
      </c>
      <c r="H36" s="80" t="s">
        <v>60</v>
      </c>
      <c r="I36" s="80" t="s">
        <v>60</v>
      </c>
      <c r="J36" s="80">
        <v>0</v>
      </c>
      <c r="K36" s="84">
        <f t="shared" si="3"/>
        <v>22510.914482913853</v>
      </c>
      <c r="L36" s="83">
        <f t="shared" si="0"/>
        <v>29273.304077710301</v>
      </c>
      <c r="M36" s="83">
        <f t="shared" si="1"/>
        <v>83281.26833685895</v>
      </c>
      <c r="N36" s="87">
        <f t="shared" si="2"/>
        <v>90043.657931655398</v>
      </c>
    </row>
    <row r="37" spans="2:14" x14ac:dyDescent="0.2">
      <c r="B37" s="35">
        <v>2058</v>
      </c>
      <c r="C37" s="69">
        <f>Croplands!Z37</f>
        <v>37937.676509795769</v>
      </c>
      <c r="D37" s="69">
        <f>Grasslands!L37</f>
        <v>11777.438266349904</v>
      </c>
      <c r="E37" s="69">
        <f>Agroforestry!D36</f>
        <v>31129.54648001205</v>
      </c>
      <c r="F37" s="3">
        <f>'QA3'!F36</f>
        <v>29273.304077710301</v>
      </c>
      <c r="G37" s="80">
        <v>2058</v>
      </c>
      <c r="H37" s="80" t="s">
        <v>60</v>
      </c>
      <c r="I37" s="80" t="s">
        <v>60</v>
      </c>
      <c r="J37" s="80">
        <v>0</v>
      </c>
      <c r="K37" s="84">
        <f t="shared" si="3"/>
        <v>22023.593066773607</v>
      </c>
      <c r="L37" s="83">
        <f t="shared" si="0"/>
        <v>29273.304077710301</v>
      </c>
      <c r="M37" s="83">
        <f t="shared" si="1"/>
        <v>80844.66125615772</v>
      </c>
      <c r="N37" s="87">
        <f t="shared" si="2"/>
        <v>88094.372267094412</v>
      </c>
    </row>
    <row r="38" spans="2:14" x14ac:dyDescent="0.2">
      <c r="B38" s="35">
        <v>2059</v>
      </c>
      <c r="C38" s="69">
        <f>Croplands!Z38</f>
        <v>37873.400338475942</v>
      </c>
      <c r="D38" s="69">
        <f>Grasslands!L38</f>
        <v>11762.616129001894</v>
      </c>
      <c r="E38" s="69">
        <f>Agroforestry!D37</f>
        <v>28881.939360015542</v>
      </c>
      <c r="F38" s="3">
        <f>'QA3'!F37</f>
        <v>29273.304077710301</v>
      </c>
      <c r="G38" s="80">
        <v>2059</v>
      </c>
      <c r="H38" s="80" t="s">
        <v>60</v>
      </c>
      <c r="I38" s="80" t="s">
        <v>60</v>
      </c>
      <c r="J38" s="80">
        <v>0</v>
      </c>
      <c r="K38" s="84">
        <f t="shared" si="3"/>
        <v>21558.251981040739</v>
      </c>
      <c r="L38" s="83">
        <f t="shared" si="0"/>
        <v>29273.304077710301</v>
      </c>
      <c r="M38" s="83">
        <f t="shared" si="1"/>
        <v>78517.955827493381</v>
      </c>
      <c r="N38" s="87">
        <f t="shared" si="2"/>
        <v>86233.007924162943</v>
      </c>
    </row>
    <row r="39" spans="2:14" x14ac:dyDescent="0.2">
      <c r="B39" s="35">
        <v>2060</v>
      </c>
      <c r="C39" s="69">
        <f>Croplands!Z39</f>
        <v>37809.080739715995</v>
      </c>
      <c r="D39" s="69">
        <f>Grasslands!L39</f>
        <v>11741.707084141268</v>
      </c>
      <c r="E39" s="69">
        <f>Agroforestry!D38</f>
        <v>26707.697876657166</v>
      </c>
      <c r="F39" s="3">
        <f>'QA3'!F38</f>
        <v>29273.304077710301</v>
      </c>
      <c r="G39" s="80">
        <v>2060</v>
      </c>
      <c r="H39" s="80" t="s">
        <v>60</v>
      </c>
      <c r="I39" s="80" t="s">
        <v>60</v>
      </c>
      <c r="J39" s="80">
        <v>0</v>
      </c>
      <c r="K39" s="84">
        <f t="shared" si="3"/>
        <v>21106.357955644948</v>
      </c>
      <c r="L39" s="83">
        <f t="shared" si="0"/>
        <v>29273.304077710301</v>
      </c>
      <c r="M39" s="83">
        <f t="shared" si="1"/>
        <v>76258.485700514429</v>
      </c>
      <c r="N39" s="87">
        <f t="shared" si="2"/>
        <v>84425.431822579791</v>
      </c>
    </row>
    <row r="40" spans="2:14" x14ac:dyDescent="0.2">
      <c r="B40" s="35">
        <v>2061</v>
      </c>
      <c r="C40" s="69">
        <f>Croplands!Z40</f>
        <v>37736.680068680878</v>
      </c>
      <c r="D40" s="69">
        <f>Grasslands!L40</f>
        <v>11737.600349305359</v>
      </c>
      <c r="E40" s="69">
        <f>Agroforestry!D39</f>
        <v>24673.290856965472</v>
      </c>
      <c r="F40" s="3">
        <f>'QA3'!F39</f>
        <v>29273.304077710301</v>
      </c>
      <c r="G40" s="80">
        <v>2061</v>
      </c>
      <c r="H40" s="80" t="s">
        <v>60</v>
      </c>
      <c r="I40" s="80" t="s">
        <v>60</v>
      </c>
      <c r="J40" s="80">
        <v>0</v>
      </c>
      <c r="K40" s="84">
        <f t="shared" si="3"/>
        <v>20684.175070532405</v>
      </c>
      <c r="L40" s="83">
        <f t="shared" si="0"/>
        <v>29273.304077710301</v>
      </c>
      <c r="M40" s="83">
        <f t="shared" si="1"/>
        <v>74147.571274951712</v>
      </c>
      <c r="N40" s="87">
        <f t="shared" si="2"/>
        <v>82736.700282129605</v>
      </c>
    </row>
    <row r="41" spans="2:14" x14ac:dyDescent="0.2">
      <c r="B41" s="35">
        <v>2062</v>
      </c>
      <c r="C41" s="69">
        <f>Croplands!Z41</f>
        <v>37665.065904407049</v>
      </c>
      <c r="D41" s="69">
        <f>Grasslands!L41</f>
        <v>11710.674382630377</v>
      </c>
      <c r="E41" s="69">
        <f>Agroforestry!D40</f>
        <v>22848.799098549462</v>
      </c>
      <c r="F41" s="3">
        <f>'QA3'!F40</f>
        <v>29273.304077710301</v>
      </c>
      <c r="G41" s="80">
        <v>2062</v>
      </c>
      <c r="H41" s="80" t="s">
        <v>60</v>
      </c>
      <c r="I41" s="80" t="s">
        <v>60</v>
      </c>
      <c r="J41" s="80">
        <v>0</v>
      </c>
      <c r="K41" s="84">
        <f t="shared" si="3"/>
        <v>20299.568692659439</v>
      </c>
      <c r="L41" s="83">
        <f t="shared" si="0"/>
        <v>29273.304077710301</v>
      </c>
      <c r="M41" s="83">
        <f t="shared" si="1"/>
        <v>72224.53938558689</v>
      </c>
      <c r="N41" s="87">
        <f t="shared" si="2"/>
        <v>81198.274770637756</v>
      </c>
    </row>
    <row r="42" spans="2:14" x14ac:dyDescent="0.2">
      <c r="B42" s="35">
        <v>2063</v>
      </c>
      <c r="C42" s="69">
        <f>Croplands!Z42</f>
        <v>37588.250041678424</v>
      </c>
      <c r="D42" s="69">
        <f>Grasslands!L42</f>
        <v>11698.164526430382</v>
      </c>
      <c r="E42" s="69">
        <f>Agroforestry!D41</f>
        <v>21207.099891900845</v>
      </c>
      <c r="F42" s="3">
        <f>'QA3'!F41</f>
        <v>29273.304077710301</v>
      </c>
      <c r="G42" s="80">
        <v>2063</v>
      </c>
      <c r="H42" s="80" t="s">
        <v>60</v>
      </c>
      <c r="I42" s="80" t="s">
        <v>60</v>
      </c>
      <c r="J42" s="80">
        <v>0</v>
      </c>
      <c r="K42" s="84">
        <f t="shared" si="3"/>
        <v>19953.363707543991</v>
      </c>
      <c r="L42" s="83">
        <f t="shared" si="0"/>
        <v>29273.304077710301</v>
      </c>
      <c r="M42" s="83">
        <f t="shared" si="1"/>
        <v>70493.514460009654</v>
      </c>
      <c r="N42" s="87">
        <f t="shared" si="2"/>
        <v>79813.454830175964</v>
      </c>
    </row>
    <row r="43" spans="2:14" x14ac:dyDescent="0.2">
      <c r="B43" s="35">
        <v>2064</v>
      </c>
      <c r="C43" s="69">
        <f>Croplands!Z43</f>
        <v>37507.981381183155</v>
      </c>
      <c r="D43" s="69">
        <f>Grasslands!L43</f>
        <v>11695.071202970943</v>
      </c>
      <c r="E43" s="69">
        <f>Agroforestry!D42</f>
        <v>19804.183277307708</v>
      </c>
      <c r="F43" s="3">
        <f>'QA3'!F42</f>
        <v>29273.304077710301</v>
      </c>
      <c r="G43" s="80">
        <v>2064</v>
      </c>
      <c r="H43" s="80" t="s">
        <v>60</v>
      </c>
      <c r="I43" s="80" t="s">
        <v>60</v>
      </c>
      <c r="J43" s="80">
        <v>0</v>
      </c>
      <c r="K43" s="84">
        <f t="shared" si="3"/>
        <v>19656.107987834424</v>
      </c>
      <c r="L43" s="83">
        <f t="shared" si="0"/>
        <v>29273.304077710301</v>
      </c>
      <c r="M43" s="83">
        <f t="shared" si="1"/>
        <v>69007.235861461813</v>
      </c>
      <c r="N43" s="87">
        <f t="shared" si="2"/>
        <v>78624.431951337698</v>
      </c>
    </row>
    <row r="44" spans="2:14" ht="17" thickBot="1" x14ac:dyDescent="0.25">
      <c r="B44" s="38">
        <v>2065</v>
      </c>
      <c r="C44" s="24">
        <f>Croplands!Z44</f>
        <v>37433.253804902371</v>
      </c>
      <c r="D44" s="24">
        <f>Grasslands!L44</f>
        <v>11664.692427690132</v>
      </c>
      <c r="E44" s="24">
        <f>Agroforestry!D43</f>
        <v>18599.029906079457</v>
      </c>
      <c r="F44" s="25">
        <f>'QA3'!F43</f>
        <v>29273.304077710301</v>
      </c>
      <c r="G44" s="80">
        <v>2065</v>
      </c>
      <c r="H44" s="80" t="s">
        <v>60</v>
      </c>
      <c r="I44" s="80" t="s">
        <v>60</v>
      </c>
      <c r="J44" s="80">
        <v>0</v>
      </c>
      <c r="K44" s="84">
        <f t="shared" ref="K44" si="4">0.2 * (L44+M44)</f>
        <v>19394.056043276454</v>
      </c>
      <c r="L44" s="83">
        <f t="shared" si="0"/>
        <v>29273.304077710301</v>
      </c>
      <c r="M44" s="83">
        <f t="shared" si="1"/>
        <v>67696.976138671962</v>
      </c>
      <c r="N44" s="87">
        <f t="shared" si="2"/>
        <v>77576.224173105817</v>
      </c>
    </row>
    <row r="45" spans="2:14" x14ac:dyDescent="0.2">
      <c r="B45" s="33"/>
      <c r="C45" s="79" t="s">
        <v>39</v>
      </c>
      <c r="D45" s="78" t="s">
        <v>40</v>
      </c>
      <c r="E45" s="78" t="s">
        <v>41</v>
      </c>
      <c r="F45" s="78" t="s">
        <v>42</v>
      </c>
      <c r="N45" s="62">
        <f>SUM(N5:N44)</f>
        <v>3666798.476749836</v>
      </c>
    </row>
    <row r="46" spans="2:14" x14ac:dyDescent="0.2">
      <c r="B46" s="40" t="s">
        <v>43</v>
      </c>
      <c r="C46" s="41">
        <f>SUM(C5:C44)</f>
        <v>1808233.1732623426</v>
      </c>
      <c r="D46" s="41">
        <f t="shared" ref="D46" si="5">SUM(D5:D44)</f>
        <v>567291.65775483858</v>
      </c>
      <c r="E46" s="41">
        <f>SUM(E5:E44)</f>
        <v>1037041.1018117013</v>
      </c>
      <c r="F46" s="41">
        <f>SUM(F5:F44)</f>
        <v>1170932.1631084112</v>
      </c>
    </row>
    <row r="47" spans="2:14" x14ac:dyDescent="0.2">
      <c r="B47" s="1"/>
      <c r="C47" s="1"/>
      <c r="D47" s="49"/>
      <c r="E47" s="49"/>
      <c r="F47" s="49"/>
    </row>
    <row r="48" spans="2:14" x14ac:dyDescent="0.2">
      <c r="B48" s="1" t="s">
        <v>44</v>
      </c>
      <c r="C48" s="49">
        <v>0.2</v>
      </c>
      <c r="D48" s="1"/>
      <c r="E48" s="1"/>
      <c r="F48" s="1"/>
    </row>
    <row r="49" spans="2:6" ht="17" thickBot="1" x14ac:dyDescent="0.25">
      <c r="B49" s="1"/>
      <c r="C49" s="1"/>
      <c r="D49" s="50"/>
      <c r="E49" s="50"/>
      <c r="F49" s="50"/>
    </row>
    <row r="50" spans="2:6" ht="20" thickBot="1" x14ac:dyDescent="0.3">
      <c r="B50" s="51" t="s">
        <v>45</v>
      </c>
      <c r="C50" s="52">
        <f>SUM(C46:F46) * (1 - C48)</f>
        <v>3666798.4767498355</v>
      </c>
      <c r="D50" s="1"/>
      <c r="E50" s="1"/>
      <c r="F50" s="1"/>
    </row>
    <row r="51" spans="2:6" x14ac:dyDescent="0.2">
      <c r="B51" s="1" t="s">
        <v>51</v>
      </c>
      <c r="C51" s="50">
        <f>C50/40</f>
        <v>91669.961918745888</v>
      </c>
      <c r="D51" s="1"/>
      <c r="E51" s="1"/>
      <c r="F51" s="1"/>
    </row>
    <row r="52" spans="2:6" x14ac:dyDescent="0.2">
      <c r="B52" s="81" t="s">
        <v>46</v>
      </c>
      <c r="C52" s="62">
        <f>C51/65005.69</f>
        <v>1.4101836611340621</v>
      </c>
    </row>
    <row r="53" spans="2:6" x14ac:dyDescent="0.2">
      <c r="B53" t="s">
        <v>52</v>
      </c>
      <c r="C53" s="63">
        <f>C52*0.8</f>
        <v>1.1281469289072497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Soil_Classes</vt:lpstr>
      <vt:lpstr>Area_Phases</vt:lpstr>
      <vt:lpstr>Croplands</vt:lpstr>
      <vt:lpstr>Grasslands</vt:lpstr>
      <vt:lpstr>Agroforestry</vt:lpstr>
      <vt:lpstr>QA3</vt:lpstr>
      <vt:lpstr>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Bendre, Mihir Y</dc:creator>
  <cp:lastModifiedBy>Bendre, Mihir Y</cp:lastModifiedBy>
  <dcterms:created xsi:type="dcterms:W3CDTF">2026-01-26T17:54:40Z</dcterms:created>
  <dcterms:modified xsi:type="dcterms:W3CDTF">2026-01-31T21:26:38Z</dcterms:modified>
</cp:coreProperties>
</file>