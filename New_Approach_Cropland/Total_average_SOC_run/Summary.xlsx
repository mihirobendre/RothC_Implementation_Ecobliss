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Ghana Project/SOC_Models/RothC_Implementation_Axam/New_Approach_Cropland/"/>
    </mc:Choice>
  </mc:AlternateContent>
  <xr:revisionPtr revIDLastSave="0" documentId="13_ncr:1_{2559CC46-B134-5340-B3DB-A439FD1827FB}" xr6:coauthVersionLast="47" xr6:coauthVersionMax="47" xr10:uidLastSave="{00000000-0000-0000-0000-000000000000}"/>
  <bookViews>
    <workbookView xWindow="0" yWindow="720" windowWidth="29400" windowHeight="18400" xr2:uid="{C5750C1D-904C-0E4A-B345-FA4937AE1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14" i="1"/>
  <c r="G15" i="1"/>
  <c r="G16" i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H54" i="1"/>
  <c r="H15" i="1" l="1"/>
  <c r="H16" i="1"/>
  <c r="H56" i="1"/>
</calcChain>
</file>

<file path=xl/sharedStrings.xml><?xml version="1.0" encoding="utf-8"?>
<sst xmlns="http://schemas.openxmlformats.org/spreadsheetml/2006/main" count="14" uniqueCount="11">
  <si>
    <t>Year</t>
  </si>
  <si>
    <t>SOC_t_C_ha</t>
  </si>
  <si>
    <t>Low</t>
  </si>
  <si>
    <t>Mid</t>
  </si>
  <si>
    <t>High</t>
  </si>
  <si>
    <t>Proportion of samples</t>
  </si>
  <si>
    <t>Cropland Area (ha)</t>
  </si>
  <si>
    <t>Fertility</t>
  </si>
  <si>
    <t>SOC by Fertility Level</t>
  </si>
  <si>
    <t>Net SOC</t>
  </si>
  <si>
    <t>Annual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</si>
</sst>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43CA-3769-8241-A51B-F2E6B50CADE6}">
  <dimension ref="A2:H56"/>
  <sheetViews>
    <sheetView tabSelected="1" zoomScale="143" workbookViewId="0">
      <selection activeCell="D10" sqref="D10"/>
    </sheetView>
  </sheetViews>
  <sheetFormatPr baseColWidth="10" defaultRowHeight="16" x14ac:dyDescent="0.2"/>
  <cols>
    <col min="1" max="1" width="16.6640625" customWidth="1"/>
    <col min="2" max="2" width="18.6640625" customWidth="1"/>
  </cols>
  <sheetData>
    <row r="2" spans="1:8" x14ac:dyDescent="0.2">
      <c r="A2" t="s">
        <v>6</v>
      </c>
      <c r="B2">
        <v>9000</v>
      </c>
    </row>
    <row r="4" spans="1:8" x14ac:dyDescent="0.2">
      <c r="A4" t="s">
        <v>7</v>
      </c>
      <c r="B4" t="s">
        <v>5</v>
      </c>
    </row>
    <row r="5" spans="1:8" x14ac:dyDescent="0.2">
      <c r="A5" t="s">
        <v>2</v>
      </c>
      <c r="B5">
        <v>0.42735000000000001</v>
      </c>
    </row>
    <row r="6" spans="1:8" x14ac:dyDescent="0.2">
      <c r="A6" t="s">
        <v>3</v>
      </c>
      <c r="B6">
        <v>0.34188000000000002</v>
      </c>
    </row>
    <row r="7" spans="1:8" x14ac:dyDescent="0.2">
      <c r="A7" t="s">
        <v>4</v>
      </c>
      <c r="B7">
        <v>0.15384</v>
      </c>
    </row>
    <row r="11" spans="1:8" x14ac:dyDescent="0.2">
      <c r="C11" s="3" t="s">
        <v>8</v>
      </c>
      <c r="D11" s="3"/>
      <c r="E11" s="3"/>
    </row>
    <row r="12" spans="1:8" x14ac:dyDescent="0.2">
      <c r="C12" t="s">
        <v>2</v>
      </c>
      <c r="D12" t="s">
        <v>3</v>
      </c>
      <c r="E12" t="s">
        <v>4</v>
      </c>
      <c r="G12" t="s">
        <v>9</v>
      </c>
      <c r="H12" t="s">
        <v>10</v>
      </c>
    </row>
    <row r="13" spans="1:8" x14ac:dyDescent="0.2">
      <c r="A13" s="1" t="s">
        <v>0</v>
      </c>
      <c r="C13" s="4" t="s">
        <v>1</v>
      </c>
      <c r="D13" s="5"/>
      <c r="E13" s="5"/>
    </row>
    <row r="14" spans="1:8" x14ac:dyDescent="0.2">
      <c r="A14">
        <v>1</v>
      </c>
      <c r="C14">
        <v>21.36330584747132</v>
      </c>
      <c r="D14" s="2">
        <v>39.231729999999999</v>
      </c>
      <c r="E14" s="2">
        <v>59.076720000000002</v>
      </c>
      <c r="G14">
        <f>(C14*$B$5 + D14*$B$6 + E14*$B$7)*$B$2</f>
        <v>284674.63690005185</v>
      </c>
    </row>
    <row r="15" spans="1:8" x14ac:dyDescent="0.2">
      <c r="A15">
        <v>2026</v>
      </c>
      <c r="C15">
        <v>22.197903601086939</v>
      </c>
      <c r="D15" s="2">
        <v>40.066330000000001</v>
      </c>
      <c r="E15" s="2">
        <v>59.377200000000002</v>
      </c>
      <c r="G15">
        <f>(C15*$B$5 + D15*$B$6 + E15*$B$7)*$B$2</f>
        <v>290868.65507092059</v>
      </c>
      <c r="H15">
        <f>G15-G14</f>
        <v>6194.0181708687451</v>
      </c>
    </row>
    <row r="16" spans="1:8" x14ac:dyDescent="0.2">
      <c r="A16">
        <v>2027</v>
      </c>
      <c r="C16">
        <v>22.772624374960639</v>
      </c>
      <c r="D16" s="2">
        <v>40.64105</v>
      </c>
      <c r="E16" s="2">
        <v>59.584110000000003</v>
      </c>
      <c r="G16">
        <f t="shared" ref="G16:G53" si="0">(C16*$B$5 + D16*$B$6 + E16*$B$7)*$B$2</f>
        <v>295133.96414735488</v>
      </c>
      <c r="H16">
        <f t="shared" ref="H16:H54" si="1">G16-G15</f>
        <v>4265.3090764342924</v>
      </c>
    </row>
    <row r="17" spans="1:8" x14ac:dyDescent="0.2">
      <c r="A17">
        <v>2028</v>
      </c>
      <c r="C17">
        <v>23.238319664127008</v>
      </c>
      <c r="D17" s="2">
        <v>41.106749999999998</v>
      </c>
      <c r="E17" s="2">
        <v>59.75177</v>
      </c>
      <c r="G17">
        <f t="shared" si="0"/>
        <v>298590.15505738213</v>
      </c>
      <c r="H17">
        <f t="shared" si="1"/>
        <v>3456.190910027246</v>
      </c>
    </row>
    <row r="18" spans="1:8" x14ac:dyDescent="0.2">
      <c r="A18">
        <v>2029</v>
      </c>
      <c r="C18">
        <v>23.624554047767369</v>
      </c>
      <c r="D18" s="2">
        <v>41.492980000000003</v>
      </c>
      <c r="E18" s="2">
        <v>59.890830000000001</v>
      </c>
      <c r="G18">
        <f t="shared" si="0"/>
        <v>301456.60615722043</v>
      </c>
      <c r="H18">
        <f t="shared" si="1"/>
        <v>2866.4510998383048</v>
      </c>
    </row>
    <row r="19" spans="1:8" x14ac:dyDescent="0.2">
      <c r="A19">
        <v>2030</v>
      </c>
      <c r="C19">
        <v>23.95245847249975</v>
      </c>
      <c r="D19" s="2">
        <v>41.820889999999999</v>
      </c>
      <c r="E19" s="2">
        <v>60.008879999999998</v>
      </c>
      <c r="G19">
        <f t="shared" si="0"/>
        <v>303890.1759056049</v>
      </c>
      <c r="H19">
        <f t="shared" si="1"/>
        <v>2433.5697483844706</v>
      </c>
    </row>
    <row r="20" spans="1:8" x14ac:dyDescent="0.2">
      <c r="A20">
        <v>2031</v>
      </c>
      <c r="C20">
        <v>24.237224823634481</v>
      </c>
      <c r="D20" s="2">
        <v>42.105649999999997</v>
      </c>
      <c r="E20" s="2">
        <v>60.111400000000003</v>
      </c>
      <c r="G20">
        <f t="shared" si="0"/>
        <v>306003.55883742176</v>
      </c>
      <c r="H20">
        <f t="shared" si="1"/>
        <v>2113.3829318168573</v>
      </c>
    </row>
    <row r="21" spans="1:8" x14ac:dyDescent="0.2">
      <c r="A21">
        <v>2032</v>
      </c>
      <c r="C21">
        <v>24.48982480319577</v>
      </c>
      <c r="D21" s="2">
        <v>42.358249999999998</v>
      </c>
      <c r="E21" s="2">
        <v>60.202350000000003</v>
      </c>
      <c r="G21">
        <f t="shared" si="0"/>
        <v>307878.25197281141</v>
      </c>
      <c r="H21">
        <f t="shared" si="1"/>
        <v>1874.6931353896507</v>
      </c>
    </row>
    <row r="22" spans="1:8" x14ac:dyDescent="0.2">
      <c r="A22">
        <v>2033</v>
      </c>
      <c r="C22">
        <v>24.718211109078521</v>
      </c>
      <c r="D22" s="2">
        <v>42.586640000000003</v>
      </c>
      <c r="E22" s="2">
        <v>60.284570000000002</v>
      </c>
      <c r="G22">
        <f t="shared" si="0"/>
        <v>309573.2362451824</v>
      </c>
      <c r="H22">
        <f t="shared" si="1"/>
        <v>1694.984272370988</v>
      </c>
    </row>
    <row r="23" spans="1:8" x14ac:dyDescent="0.2">
      <c r="A23">
        <v>2034</v>
      </c>
      <c r="C23">
        <v>24.928165549155629</v>
      </c>
      <c r="D23" s="2">
        <v>42.796590000000002</v>
      </c>
      <c r="E23" s="2">
        <v>60.36016</v>
      </c>
      <c r="G23">
        <f t="shared" si="0"/>
        <v>311131.41075928492</v>
      </c>
      <c r="H23">
        <f t="shared" si="1"/>
        <v>1558.1745141025167</v>
      </c>
    </row>
    <row r="24" spans="1:8" x14ac:dyDescent="0.2">
      <c r="A24">
        <v>2035</v>
      </c>
      <c r="C24">
        <v>25.12390274886997</v>
      </c>
      <c r="D24" s="2">
        <v>42.992330000000003</v>
      </c>
      <c r="E24" s="2">
        <v>60.430630000000001</v>
      </c>
      <c r="G24">
        <f t="shared" si="0"/>
        <v>312584.09165396623</v>
      </c>
      <c r="H24">
        <f t="shared" si="1"/>
        <v>1452.6808946813107</v>
      </c>
    </row>
    <row r="25" spans="1:8" x14ac:dyDescent="0.2">
      <c r="A25">
        <v>2036</v>
      </c>
      <c r="C25">
        <v>25.30850259205555</v>
      </c>
      <c r="D25" s="2">
        <v>43.176929999999999</v>
      </c>
      <c r="E25" s="2">
        <v>60.49709</v>
      </c>
      <c r="G25">
        <f t="shared" si="0"/>
        <v>313954.1076304345</v>
      </c>
      <c r="H25">
        <f t="shared" si="1"/>
        <v>1370.0159764682758</v>
      </c>
    </row>
    <row r="26" spans="1:8" x14ac:dyDescent="0.2">
      <c r="A26">
        <v>2037</v>
      </c>
      <c r="C26">
        <v>25.484221471819971</v>
      </c>
      <c r="D26" s="2">
        <v>43.352649999999997</v>
      </c>
      <c r="E26" s="2">
        <v>60.56035</v>
      </c>
      <c r="G26">
        <f t="shared" si="0"/>
        <v>315258.21244784043</v>
      </c>
      <c r="H26">
        <f t="shared" si="1"/>
        <v>1304.1048174059251</v>
      </c>
    </row>
    <row r="27" spans="1:8" x14ac:dyDescent="0.2">
      <c r="A27">
        <v>2038</v>
      </c>
      <c r="C27">
        <v>25.652717129480589</v>
      </c>
      <c r="D27" s="2">
        <v>43.521140000000003</v>
      </c>
      <c r="E27" s="2">
        <v>60.621009999999998</v>
      </c>
      <c r="G27">
        <f t="shared" si="0"/>
        <v>316508.68968195177</v>
      </c>
      <c r="H27">
        <f t="shared" si="1"/>
        <v>1250.4772341113421</v>
      </c>
    </row>
    <row r="28" spans="1:8" x14ac:dyDescent="0.2">
      <c r="A28">
        <v>2039</v>
      </c>
      <c r="C28">
        <v>25.81521151581569</v>
      </c>
      <c r="D28" s="2">
        <v>43.683639999999997</v>
      </c>
      <c r="E28" s="2">
        <v>60.679519999999997</v>
      </c>
      <c r="G28">
        <f t="shared" si="0"/>
        <v>317714.67757155449</v>
      </c>
      <c r="H28">
        <f t="shared" si="1"/>
        <v>1205.9878896027221</v>
      </c>
    </row>
    <row r="29" spans="1:8" x14ac:dyDescent="0.2">
      <c r="A29">
        <v>2040</v>
      </c>
      <c r="C29">
        <v>25.97260900014674</v>
      </c>
      <c r="D29" s="2">
        <v>43.84104</v>
      </c>
      <c r="E29" s="2">
        <v>60.736179999999997</v>
      </c>
      <c r="G29">
        <f t="shared" si="0"/>
        <v>318882.80828351434</v>
      </c>
      <c r="H29">
        <f t="shared" si="1"/>
        <v>1168.1307119598496</v>
      </c>
    </row>
    <row r="30" spans="1:8" x14ac:dyDescent="0.2">
      <c r="A30">
        <v>2041</v>
      </c>
      <c r="C30">
        <v>26.12558230054681</v>
      </c>
      <c r="D30" s="2">
        <v>43.994010000000003</v>
      </c>
      <c r="E30" s="2">
        <v>60.791260000000001</v>
      </c>
      <c r="G30">
        <f t="shared" si="0"/>
        <v>320018.10456004814</v>
      </c>
      <c r="H30">
        <f t="shared" si="1"/>
        <v>1135.2962765338016</v>
      </c>
    </row>
    <row r="31" spans="1:8" x14ac:dyDescent="0.2">
      <c r="A31">
        <v>2042</v>
      </c>
      <c r="C31">
        <v>26.27463502054956</v>
      </c>
      <c r="D31" s="2">
        <v>44.143059999999998</v>
      </c>
      <c r="E31" s="2">
        <v>60.844920000000002</v>
      </c>
      <c r="G31">
        <f t="shared" si="0"/>
        <v>321124.29409468669</v>
      </c>
      <c r="H31">
        <f t="shared" si="1"/>
        <v>1106.1895346385427</v>
      </c>
    </row>
    <row r="32" spans="1:8" x14ac:dyDescent="0.2">
      <c r="A32">
        <v>2043</v>
      </c>
      <c r="C32">
        <v>26.420147199773901</v>
      </c>
      <c r="D32" s="2">
        <v>44.28857</v>
      </c>
      <c r="E32" s="2">
        <v>60.897309999999997</v>
      </c>
      <c r="G32">
        <f t="shared" si="0"/>
        <v>322204.2154904104</v>
      </c>
      <c r="H32">
        <f t="shared" si="1"/>
        <v>1079.921395723708</v>
      </c>
    </row>
    <row r="33" spans="1:8" x14ac:dyDescent="0.2">
      <c r="A33">
        <v>2044</v>
      </c>
      <c r="C33">
        <v>26.562408513559419</v>
      </c>
      <c r="D33" s="2">
        <v>44.430840000000003</v>
      </c>
      <c r="E33" s="2">
        <v>60.948520000000002</v>
      </c>
      <c r="G33">
        <f t="shared" si="0"/>
        <v>323260.03056842659</v>
      </c>
      <c r="H33">
        <f t="shared" si="1"/>
        <v>1055.8150780161959</v>
      </c>
    </row>
    <row r="34" spans="1:8" x14ac:dyDescent="0.2">
      <c r="A34">
        <v>2045</v>
      </c>
      <c r="C34">
        <v>26.70164248253834</v>
      </c>
      <c r="D34" s="2">
        <v>44.570070000000001</v>
      </c>
      <c r="E34" s="2">
        <v>60.998649999999998</v>
      </c>
      <c r="G34">
        <f t="shared" si="0"/>
        <v>324293.35286261491</v>
      </c>
      <c r="H34">
        <f t="shared" si="1"/>
        <v>1033.3222941883141</v>
      </c>
    </row>
    <row r="35" spans="1:8" x14ac:dyDescent="0.2">
      <c r="A35">
        <v>2046</v>
      </c>
      <c r="C35">
        <v>26.838024133451359</v>
      </c>
      <c r="D35" s="2">
        <v>44.706449999999997</v>
      </c>
      <c r="E35" s="2">
        <v>61.047750000000001</v>
      </c>
      <c r="G35">
        <f t="shared" si="0"/>
        <v>325305.50939487398</v>
      </c>
      <c r="H35">
        <f t="shared" si="1"/>
        <v>1012.1565322590759</v>
      </c>
    </row>
    <row r="36" spans="1:8" x14ac:dyDescent="0.2">
      <c r="A36">
        <v>2047</v>
      </c>
      <c r="C36">
        <v>26.971692886836589</v>
      </c>
      <c r="D36" s="2">
        <v>44.840119999999999</v>
      </c>
      <c r="E36" s="2">
        <v>61.095880000000001</v>
      </c>
      <c r="G36">
        <f t="shared" si="0"/>
        <v>326297.55023990659</v>
      </c>
      <c r="H36">
        <f t="shared" si="1"/>
        <v>992.04084503260674</v>
      </c>
    </row>
    <row r="37" spans="1:8" x14ac:dyDescent="0.2">
      <c r="A37">
        <v>2048</v>
      </c>
      <c r="C37">
        <v>27.10276196430388</v>
      </c>
      <c r="D37" s="2">
        <v>44.97119</v>
      </c>
      <c r="E37" s="2">
        <v>61.143059999999998</v>
      </c>
      <c r="G37">
        <f t="shared" si="0"/>
        <v>327270.27701740735</v>
      </c>
      <c r="H37">
        <f t="shared" si="1"/>
        <v>972.726777500764</v>
      </c>
    </row>
    <row r="38" spans="1:8" x14ac:dyDescent="0.2">
      <c r="A38">
        <v>2049</v>
      </c>
      <c r="C38">
        <v>27.23132525719976</v>
      </c>
      <c r="D38" s="2">
        <v>45.09975</v>
      </c>
      <c r="E38" s="2">
        <v>61.189349999999997</v>
      </c>
      <c r="G38">
        <f t="shared" si="0"/>
        <v>328224.41084397893</v>
      </c>
      <c r="H38">
        <f t="shared" si="1"/>
        <v>954.1338265715749</v>
      </c>
    </row>
    <row r="39" spans="1:8" x14ac:dyDescent="0.2">
      <c r="A39">
        <v>2050</v>
      </c>
      <c r="C39">
        <v>27.357462343177041</v>
      </c>
      <c r="D39" s="2">
        <v>45.22589</v>
      </c>
      <c r="E39" s="2">
        <v>61.234760000000001</v>
      </c>
      <c r="G39">
        <f t="shared" si="0"/>
        <v>329160.54855561047</v>
      </c>
      <c r="H39">
        <f t="shared" si="1"/>
        <v>936.13771163154161</v>
      </c>
    </row>
    <row r="40" spans="1:8" x14ac:dyDescent="0.2">
      <c r="A40">
        <v>2051</v>
      </c>
      <c r="C40">
        <v>27.481242151286189</v>
      </c>
      <c r="D40" s="2">
        <v>45.349670000000003</v>
      </c>
      <c r="E40" s="2">
        <v>61.279330000000002</v>
      </c>
      <c r="G40">
        <f t="shared" si="0"/>
        <v>330079.1952613694</v>
      </c>
      <c r="H40">
        <f t="shared" si="1"/>
        <v>918.64670575893251</v>
      </c>
    </row>
    <row r="41" spans="1:8" x14ac:dyDescent="0.2">
      <c r="A41">
        <v>2052</v>
      </c>
      <c r="C41">
        <v>27.602725640752691</v>
      </c>
      <c r="D41" s="2">
        <v>45.471150000000002</v>
      </c>
      <c r="E41" s="2">
        <v>61.323059999999998</v>
      </c>
      <c r="G41">
        <f t="shared" si="0"/>
        <v>330980.77003478096</v>
      </c>
      <c r="H41">
        <f t="shared" si="1"/>
        <v>901.57477341155754</v>
      </c>
    </row>
    <row r="42" spans="1:8" x14ac:dyDescent="0.2">
      <c r="A42">
        <v>2053</v>
      </c>
      <c r="C42">
        <v>27.721967759855751</v>
      </c>
      <c r="D42" s="2">
        <v>45.590389999999999</v>
      </c>
      <c r="E42" s="2">
        <v>61.365989999999996</v>
      </c>
      <c r="G42">
        <f t="shared" si="0"/>
        <v>331865.72421276919</v>
      </c>
      <c r="H42">
        <f t="shared" si="1"/>
        <v>884.95417798822746</v>
      </c>
    </row>
    <row r="43" spans="1:8" x14ac:dyDescent="0.2">
      <c r="A43">
        <v>2054</v>
      </c>
      <c r="C43">
        <v>27.839018879310942</v>
      </c>
      <c r="D43" s="2">
        <v>45.707450000000001</v>
      </c>
      <c r="E43" s="2">
        <v>61.40813</v>
      </c>
      <c r="G43">
        <f t="shared" si="0"/>
        <v>332734.44998946186</v>
      </c>
      <c r="H43">
        <f t="shared" si="1"/>
        <v>868.72577669267775</v>
      </c>
    </row>
    <row r="44" spans="1:8" x14ac:dyDescent="0.2">
      <c r="A44">
        <v>2055</v>
      </c>
      <c r="C44">
        <v>27.95392584202742</v>
      </c>
      <c r="D44" s="2">
        <v>45.82235</v>
      </c>
      <c r="E44" s="2">
        <v>61.4495</v>
      </c>
      <c r="G44">
        <f t="shared" si="0"/>
        <v>333587.21675931383</v>
      </c>
      <c r="H44">
        <f t="shared" si="1"/>
        <v>852.76676985196536</v>
      </c>
    </row>
    <row r="45" spans="1:8" x14ac:dyDescent="0.2">
      <c r="A45">
        <v>2056</v>
      </c>
      <c r="C45">
        <v>28.06673273278259</v>
      </c>
      <c r="D45" s="2">
        <v>45.935160000000003</v>
      </c>
      <c r="E45" s="2">
        <v>61.490119999999997</v>
      </c>
      <c r="G45">
        <f t="shared" si="0"/>
        <v>334424.43715459172</v>
      </c>
      <c r="H45">
        <f t="shared" si="1"/>
        <v>837.22039527789457</v>
      </c>
    </row>
    <row r="46" spans="1:8" x14ac:dyDescent="0.2">
      <c r="A46">
        <v>2057</v>
      </c>
      <c r="C46">
        <v>28.177481443389279</v>
      </c>
      <c r="D46" s="2">
        <v>46.045909999999999</v>
      </c>
      <c r="E46" s="2">
        <v>61.529989999999998</v>
      </c>
      <c r="G46">
        <f t="shared" si="0"/>
        <v>335246.36460509163</v>
      </c>
      <c r="H46">
        <f t="shared" si="1"/>
        <v>821.92745049990481</v>
      </c>
    </row>
    <row r="47" spans="1:8" x14ac:dyDescent="0.2">
      <c r="A47">
        <v>2058</v>
      </c>
      <c r="C47">
        <v>28.286212088519751</v>
      </c>
      <c r="D47" s="2">
        <v>46.154640000000001</v>
      </c>
      <c r="E47" s="2">
        <v>61.569130000000001</v>
      </c>
      <c r="G47">
        <f t="shared" si="0"/>
        <v>336053.30416586023</v>
      </c>
      <c r="H47">
        <f t="shared" si="1"/>
        <v>806.93956076860195</v>
      </c>
    </row>
    <row r="48" spans="1:8" x14ac:dyDescent="0.2">
      <c r="A48">
        <v>2059</v>
      </c>
      <c r="C48">
        <v>28.392963312453691</v>
      </c>
      <c r="D48" s="2">
        <v>46.261389999999999</v>
      </c>
      <c r="E48" s="2">
        <v>61.607570000000003</v>
      </c>
      <c r="G48">
        <f t="shared" si="0"/>
        <v>336845.56908219378</v>
      </c>
      <c r="H48">
        <f t="shared" si="1"/>
        <v>792.26491633354453</v>
      </c>
    </row>
    <row r="49" spans="1:8" x14ac:dyDescent="0.2">
      <c r="A49">
        <v>2060</v>
      </c>
      <c r="C49">
        <v>28.497772516144739</v>
      </c>
      <c r="D49" s="2">
        <v>46.366199999999999</v>
      </c>
      <c r="E49" s="2">
        <v>61.645299999999999</v>
      </c>
      <c r="G49">
        <f t="shared" si="0"/>
        <v>337623.41243497009</v>
      </c>
      <c r="H49">
        <f t="shared" si="1"/>
        <v>777.8433527763118</v>
      </c>
    </row>
    <row r="50" spans="1:8" x14ac:dyDescent="0.2">
      <c r="A50">
        <v>2061</v>
      </c>
      <c r="C50">
        <v>28.600676026063471</v>
      </c>
      <c r="D50" s="2">
        <v>46.469099999999997</v>
      </c>
      <c r="E50" s="2">
        <v>61.68235</v>
      </c>
      <c r="G50">
        <f t="shared" si="0"/>
        <v>338387.10778564401</v>
      </c>
      <c r="H50">
        <f t="shared" si="1"/>
        <v>763.6953506739228</v>
      </c>
    </row>
    <row r="51" spans="1:8" x14ac:dyDescent="0.2">
      <c r="A51">
        <v>2062</v>
      </c>
      <c r="C51">
        <v>28.70170922048165</v>
      </c>
      <c r="D51" s="2">
        <v>46.570140000000002</v>
      </c>
      <c r="E51" s="2">
        <v>61.718719999999998</v>
      </c>
      <c r="G51">
        <f t="shared" si="0"/>
        <v>339136.94505035551</v>
      </c>
      <c r="H51">
        <f t="shared" si="1"/>
        <v>749.83726471150294</v>
      </c>
    </row>
    <row r="52" spans="1:8" x14ac:dyDescent="0.2">
      <c r="A52">
        <v>2063</v>
      </c>
      <c r="C52">
        <v>28.800906624633949</v>
      </c>
      <c r="D52" s="2">
        <v>46.669330000000002</v>
      </c>
      <c r="E52" s="2">
        <v>61.754440000000002</v>
      </c>
      <c r="G52">
        <f t="shared" si="0"/>
        <v>339873.1293243359</v>
      </c>
      <c r="H52">
        <f t="shared" si="1"/>
        <v>736.1842739803833</v>
      </c>
    </row>
    <row r="53" spans="1:8" x14ac:dyDescent="0.2">
      <c r="A53">
        <v>2064</v>
      </c>
      <c r="C53">
        <v>28.898301983106219</v>
      </c>
      <c r="D53" s="2">
        <v>46.766730000000003</v>
      </c>
      <c r="E53" s="2">
        <v>61.789499999999997</v>
      </c>
      <c r="G53">
        <f t="shared" si="0"/>
        <v>340595.96116392396</v>
      </c>
      <c r="H53">
        <f t="shared" si="1"/>
        <v>722.8318395880633</v>
      </c>
    </row>
    <row r="54" spans="1:8" x14ac:dyDescent="0.2">
      <c r="A54">
        <v>2065</v>
      </c>
      <c r="C54">
        <v>28.99392831554615</v>
      </c>
      <c r="D54" s="2">
        <v>46.862360000000002</v>
      </c>
      <c r="E54" s="2">
        <v>61.823929999999997</v>
      </c>
      <c r="G54">
        <f>(C54*$B$5 + D54*$B$6 + E54*$B$7)*$B$2</f>
        <v>341305.67064283782</v>
      </c>
      <c r="H54">
        <f t="shared" si="1"/>
        <v>709.70947891386459</v>
      </c>
    </row>
    <row r="56" spans="1:8" x14ac:dyDescent="0.2">
      <c r="H56">
        <f>SUM(H15:H54)</f>
        <v>56631.033742785978</v>
      </c>
    </row>
  </sheetData>
  <mergeCells count="2">
    <mergeCell ref="C11:E11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2025-12-19T20:31:34Z</dcterms:created>
  <dcterms:modified xsi:type="dcterms:W3CDTF">2026-01-19T15:43:18Z</dcterms:modified>
</cp:coreProperties>
</file>