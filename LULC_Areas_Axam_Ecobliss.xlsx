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hirbendre/Documents/Gazelle/Gazelle_2026/Ghana Project/Harper_LULC_Ghana_Maps/"/>
    </mc:Choice>
  </mc:AlternateContent>
  <xr:revisionPtr revIDLastSave="0" documentId="13_ncr:1_{24A028DF-A1C1-FD4B-B874-D30A5AC27C6C}" xr6:coauthVersionLast="47" xr6:coauthVersionMax="47" xr10:uidLastSave="{00000000-0000-0000-0000-000000000000}"/>
  <bookViews>
    <workbookView xWindow="-21440" yWindow="-8280" windowWidth="13300" windowHeight="13740" xr2:uid="{D5EBAA8F-38F4-6746-B034-1E7BAA9BA5A9}"/>
  </bookViews>
  <sheets>
    <sheet name="Ecobliss" sheetId="1" r:id="rId1"/>
    <sheet name="A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E9" i="2"/>
  <c r="E10" i="2"/>
  <c r="E11" i="2"/>
  <c r="E12" i="2"/>
  <c r="E17" i="1"/>
  <c r="D7" i="2"/>
  <c r="E7" i="2" s="1"/>
  <c r="D8" i="2"/>
  <c r="D9" i="2"/>
  <c r="D10" i="2"/>
  <c r="D11" i="2"/>
  <c r="D12" i="2"/>
  <c r="C2" i="2"/>
  <c r="E19" i="1"/>
  <c r="E21" i="1"/>
  <c r="E20" i="1"/>
  <c r="E18" i="1"/>
  <c r="E9" i="1"/>
  <c r="E10" i="1"/>
  <c r="E11" i="1"/>
  <c r="E12" i="1"/>
  <c r="E8" i="1"/>
</calcChain>
</file>

<file path=xl/sharedStrings.xml><?xml version="1.0" encoding="utf-8"?>
<sst xmlns="http://schemas.openxmlformats.org/spreadsheetml/2006/main" count="33" uniqueCount="19">
  <si>
    <t>m2</t>
  </si>
  <si>
    <t>Zonal Statistics for Ecobliss Area LULC</t>
  </si>
  <si>
    <t>hectare</t>
  </si>
  <si>
    <t>Bare</t>
  </si>
  <si>
    <t>LULC</t>
  </si>
  <si>
    <t>Forest</t>
  </si>
  <si>
    <t>Grass/Shrub</t>
  </si>
  <si>
    <t>Cropland</t>
  </si>
  <si>
    <t>Built</t>
  </si>
  <si>
    <t>Length per pixel (m)</t>
  </si>
  <si>
    <t>Area of pixel (m2)</t>
  </si>
  <si>
    <t>2023 Axam LULC</t>
  </si>
  <si>
    <t>zone</t>
  </si>
  <si>
    <t>Area (m2)</t>
  </si>
  <si>
    <t>count (pixels)</t>
  </si>
  <si>
    <t>Class</t>
  </si>
  <si>
    <t>Grass/shrub</t>
  </si>
  <si>
    <t>Woodland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</si>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</sst>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FDC8-8CAF-8C42-AAB1-77454AF25302}">
  <dimension ref="A4:E21"/>
  <sheetViews>
    <sheetView tabSelected="1" topLeftCell="A5" zoomScale="138" workbookViewId="0">
      <selection activeCell="B8" sqref="B8"/>
    </sheetView>
  </sheetViews>
  <sheetFormatPr baseColWidth="10" defaultRowHeight="16" x14ac:dyDescent="0.2"/>
  <sheetData>
    <row r="4" spans="1:5" x14ac:dyDescent="0.2">
      <c r="A4" t="s">
        <v>1</v>
      </c>
    </row>
    <row r="6" spans="1:5" x14ac:dyDescent="0.2">
      <c r="A6">
        <v>2011</v>
      </c>
    </row>
    <row r="7" spans="1:5" x14ac:dyDescent="0.2">
      <c r="B7" t="s">
        <v>15</v>
      </c>
      <c r="C7" t="s">
        <v>4</v>
      </c>
      <c r="D7" t="s">
        <v>0</v>
      </c>
      <c r="E7" t="s">
        <v>2</v>
      </c>
    </row>
    <row r="8" spans="1:5" x14ac:dyDescent="0.2">
      <c r="B8">
        <v>4</v>
      </c>
      <c r="C8" t="s">
        <v>5</v>
      </c>
      <c r="D8">
        <v>169194972.84559199</v>
      </c>
      <c r="E8">
        <f>D8*0.0001</f>
        <v>16919.497284559198</v>
      </c>
    </row>
    <row r="9" spans="1:5" x14ac:dyDescent="0.2">
      <c r="B9">
        <v>1</v>
      </c>
      <c r="C9" t="s">
        <v>3</v>
      </c>
      <c r="D9">
        <v>52298489.392204002</v>
      </c>
      <c r="E9">
        <f t="shared" ref="E9:E12" si="0">D9*0.0001</f>
        <v>5229.8489392204001</v>
      </c>
    </row>
    <row r="10" spans="1:5" x14ac:dyDescent="0.2">
      <c r="B10">
        <v>3</v>
      </c>
      <c r="C10" t="s">
        <v>6</v>
      </c>
      <c r="D10">
        <v>234198949.408766</v>
      </c>
      <c r="E10">
        <f t="shared" si="0"/>
        <v>23419.894940876602</v>
      </c>
    </row>
    <row r="11" spans="1:5" x14ac:dyDescent="0.2">
      <c r="B11">
        <v>2</v>
      </c>
      <c r="C11" t="s">
        <v>7</v>
      </c>
      <c r="D11">
        <v>415440129.14492297</v>
      </c>
      <c r="E11">
        <f t="shared" si="0"/>
        <v>41544.012914492298</v>
      </c>
    </row>
    <row r="12" spans="1:5" x14ac:dyDescent="0.2">
      <c r="B12">
        <v>5</v>
      </c>
      <c r="C12" t="s">
        <v>8</v>
      </c>
      <c r="D12">
        <v>46071070.839942001</v>
      </c>
      <c r="E12">
        <f t="shared" si="0"/>
        <v>4607.1070839942004</v>
      </c>
    </row>
    <row r="15" spans="1:5" x14ac:dyDescent="0.2">
      <c r="A15">
        <v>2023</v>
      </c>
    </row>
    <row r="16" spans="1:5" x14ac:dyDescent="0.2">
      <c r="B16" t="s">
        <v>15</v>
      </c>
      <c r="C16" t="s">
        <v>4</v>
      </c>
      <c r="D16" t="s">
        <v>0</v>
      </c>
      <c r="E16" t="s">
        <v>2</v>
      </c>
    </row>
    <row r="17" spans="2:5" x14ac:dyDescent="0.2">
      <c r="B17">
        <v>4</v>
      </c>
      <c r="C17" t="s">
        <v>5</v>
      </c>
      <c r="D17">
        <v>169283913.77169701</v>
      </c>
      <c r="E17">
        <f>D17*0.0001</f>
        <v>16928.391377169701</v>
      </c>
    </row>
    <row r="18" spans="2:5" x14ac:dyDescent="0.2">
      <c r="B18">
        <v>1</v>
      </c>
      <c r="C18" t="s">
        <v>3</v>
      </c>
      <c r="D18">
        <v>52458264.268696897</v>
      </c>
      <c r="E18">
        <f t="shared" ref="E18:E21" si="1">D18*0.0001</f>
        <v>5245.8264268696903</v>
      </c>
    </row>
    <row r="19" spans="2:5" x14ac:dyDescent="0.2">
      <c r="B19">
        <v>3</v>
      </c>
      <c r="C19" t="s">
        <v>6</v>
      </c>
      <c r="D19">
        <v>234614282.19879201</v>
      </c>
      <c r="E19">
        <f>D19*0.0001</f>
        <v>23461.428219879203</v>
      </c>
    </row>
    <row r="20" spans="2:5" x14ac:dyDescent="0.2">
      <c r="B20">
        <v>2</v>
      </c>
      <c r="C20" t="s">
        <v>7</v>
      </c>
      <c r="D20">
        <v>415442618.92245001</v>
      </c>
      <c r="E20">
        <f t="shared" si="1"/>
        <v>41544.261892245006</v>
      </c>
    </row>
    <row r="21" spans="2:5" x14ac:dyDescent="0.2">
      <c r="B21">
        <v>5</v>
      </c>
      <c r="C21" t="s">
        <v>8</v>
      </c>
      <c r="D21">
        <v>45994705.388522297</v>
      </c>
      <c r="E21">
        <f t="shared" si="1"/>
        <v>4599.4705388522298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16EC-8F62-6C49-ABBA-8199869E255A}">
  <dimension ref="B1:F12"/>
  <sheetViews>
    <sheetView zoomScale="125" workbookViewId="0">
      <selection activeCell="D15" sqref="D15"/>
    </sheetView>
  </sheetViews>
  <sheetFormatPr baseColWidth="10" defaultRowHeight="16" x14ac:dyDescent="0.2"/>
  <cols>
    <col min="2" max="2" width="17" customWidth="1"/>
    <col min="3" max="4" width="15" customWidth="1"/>
  </cols>
  <sheetData>
    <row r="1" spans="2:6" x14ac:dyDescent="0.2">
      <c r="B1" t="s">
        <v>9</v>
      </c>
      <c r="C1" t="s">
        <v>10</v>
      </c>
    </row>
    <row r="2" spans="2:6" x14ac:dyDescent="0.2">
      <c r="B2">
        <v>9.952</v>
      </c>
      <c r="C2">
        <f>B2^2</f>
        <v>99.042304000000001</v>
      </c>
    </row>
    <row r="4" spans="2:6" x14ac:dyDescent="0.2">
      <c r="B4" t="s">
        <v>11</v>
      </c>
    </row>
    <row r="6" spans="2:6" x14ac:dyDescent="0.2">
      <c r="B6" t="s">
        <v>12</v>
      </c>
      <c r="C6" t="s">
        <v>14</v>
      </c>
      <c r="D6" t="s">
        <v>13</v>
      </c>
      <c r="E6" t="s">
        <v>2</v>
      </c>
      <c r="F6" t="s">
        <v>15</v>
      </c>
    </row>
    <row r="7" spans="2:6" x14ac:dyDescent="0.2">
      <c r="B7">
        <v>5</v>
      </c>
      <c r="C7">
        <v>1767255</v>
      </c>
      <c r="D7">
        <f>C7*$C$2</f>
        <v>175033006.95552</v>
      </c>
      <c r="E7">
        <f>D7*0.0001</f>
        <v>17503.300695552</v>
      </c>
      <c r="F7" t="s">
        <v>16</v>
      </c>
    </row>
    <row r="8" spans="2:6" x14ac:dyDescent="0.2">
      <c r="B8">
        <v>4</v>
      </c>
      <c r="C8">
        <v>987798</v>
      </c>
      <c r="D8">
        <f t="shared" ref="D8:D12" si="0">C8*$C$2</f>
        <v>97833789.806592003</v>
      </c>
      <c r="E8">
        <f t="shared" ref="E8:E12" si="1">D8*0.0001</f>
        <v>9783.3789806592013</v>
      </c>
      <c r="F8" t="s">
        <v>7</v>
      </c>
    </row>
    <row r="9" spans="2:6" x14ac:dyDescent="0.2">
      <c r="B9">
        <v>1</v>
      </c>
      <c r="C9">
        <v>895094</v>
      </c>
      <c r="D9">
        <f t="shared" si="0"/>
        <v>88652172.056575999</v>
      </c>
      <c r="E9">
        <f t="shared" si="1"/>
        <v>8865.2172056576001</v>
      </c>
      <c r="F9" t="s">
        <v>8</v>
      </c>
    </row>
    <row r="10" spans="2:6" x14ac:dyDescent="0.2">
      <c r="B10">
        <v>6</v>
      </c>
      <c r="C10">
        <v>644581</v>
      </c>
      <c r="D10">
        <f t="shared" si="0"/>
        <v>63840787.354624003</v>
      </c>
      <c r="E10">
        <f t="shared" si="1"/>
        <v>6384.0787354624008</v>
      </c>
      <c r="F10" t="s">
        <v>17</v>
      </c>
    </row>
    <row r="11" spans="2:6" x14ac:dyDescent="0.2">
      <c r="B11">
        <v>3</v>
      </c>
      <c r="C11">
        <v>137517</v>
      </c>
      <c r="D11">
        <f t="shared" si="0"/>
        <v>13620000.519168001</v>
      </c>
      <c r="E11">
        <f t="shared" si="1"/>
        <v>1362.0000519168002</v>
      </c>
      <c r="F11" t="s">
        <v>18</v>
      </c>
    </row>
    <row r="12" spans="2:6" x14ac:dyDescent="0.2">
      <c r="B12">
        <v>2</v>
      </c>
      <c r="C12">
        <v>11403</v>
      </c>
      <c r="D12">
        <f t="shared" si="0"/>
        <v>1129379.3925119999</v>
      </c>
      <c r="E12">
        <f t="shared" si="1"/>
        <v>112.93793925119999</v>
      </c>
      <c r="F1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Ecobliss</vt:lpstr>
      <vt:lpstr>Axam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Bendre, Mihir Y</dc:creator>
  <cp:lastModifiedBy>Bendre, Mihir Y</cp:lastModifiedBy>
  <dcterms:created xsi:type="dcterms:W3CDTF">2026-01-16T19:47:18Z</dcterms:created>
  <dcterms:modified xsi:type="dcterms:W3CDTF">2026-01-26T23:11:38Z</dcterms:modified>
</cp:coreProperties>
</file>